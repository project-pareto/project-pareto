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keylogic-my.sharepoint.com/personal/soumya_shikha_keylogic_com/Documents/Documents/project-pareto/pareto/case_studies_tssp/Disposal Cost/"/>
    </mc:Choice>
  </mc:AlternateContent>
  <xr:revisionPtr revIDLastSave="5" documentId="11_DCD21703E056732626D9AB1AD0AE68FD352ACC8C" xr6:coauthVersionLast="47" xr6:coauthVersionMax="47" xr10:uidLastSave="{384D997F-8366-4730-A325-7E2F489458EB}"/>
  <bookViews>
    <workbookView xWindow="-108" yWindow="-108" windowWidth="23256" windowHeight="13896" tabRatio="878" firstSheet="58" activeTab="64" xr2:uid="{FB8C51AB-905F-4544-9E4B-1F4384FA855C}"/>
  </bookViews>
  <sheets>
    <sheet name="Overview" sheetId="33" r:id="rId1"/>
    <sheet name="Schematic" sheetId="82" r:id="rId2"/>
    <sheet name="Units" sheetId="103" r:id="rId3"/>
    <sheet name="ProductionPads" sheetId="1" r:id="rId4"/>
    <sheet name="ProductionTanks" sheetId="34" state="hidden" r:id="rId5"/>
    <sheet name="CompletionsPads" sheetId="3" r:id="rId6"/>
    <sheet name="SWDSites" sheetId="4" r:id="rId7"/>
    <sheet name="ExternalWaterSources" sheetId="35" r:id="rId8"/>
    <sheet name="WaterQualityComponents" sheetId="147" r:id="rId9"/>
    <sheet name="AirEmissionsComponents" sheetId="149" r:id="rId10"/>
    <sheet name="StorageSites" sheetId="36" r:id="rId11"/>
    <sheet name="TreatmentSites" sheetId="37" r:id="rId12"/>
    <sheet name="TreatmentTechnologies" sheetId="104" r:id="rId13"/>
    <sheet name="ReuseOptions" sheetId="38" r:id="rId14"/>
    <sheet name="NetworkNodes" sheetId="39" r:id="rId15"/>
    <sheet name="PipelineDiameters" sheetId="53" r:id="rId16"/>
    <sheet name="StorageCapacities" sheetId="54" r:id="rId17"/>
    <sheet name="TreatmentCapacities" sheetId="86" r:id="rId18"/>
    <sheet name="InjectionCapacities" sheetId="55" r:id="rId19"/>
    <sheet name="PNA" sheetId="56" r:id="rId20"/>
    <sheet name="CNA" sheetId="57" r:id="rId21"/>
    <sheet name="CCA" sheetId="73" r:id="rId22"/>
    <sheet name="NNA" sheetId="58" r:id="rId23"/>
    <sheet name="NCA" sheetId="59" r:id="rId24"/>
    <sheet name="NKA" sheetId="60" r:id="rId25"/>
    <sheet name="NRA" sheetId="61" r:id="rId26"/>
    <sheet name="NSA" sheetId="76" r:id="rId27"/>
    <sheet name="NOA" sheetId="122" r:id="rId28"/>
    <sheet name="SNA" sheetId="77" r:id="rId29"/>
    <sheet name="SOA" sheetId="121" r:id="rId30"/>
    <sheet name="FCA" sheetId="41" r:id="rId31"/>
    <sheet name="RCA" sheetId="83" r:id="rId32"/>
    <sheet name="RSA" sheetId="105" r:id="rId33"/>
    <sheet name="SCA" sheetId="108" r:id="rId34"/>
    <sheet name="RNA" sheetId="62" r:id="rId35"/>
    <sheet name="ROA" sheetId="120" r:id="rId36"/>
    <sheet name="RKA" sheetId="136" r:id="rId37"/>
    <sheet name="PCT" sheetId="42" r:id="rId38"/>
    <sheet name="FCT" sheetId="70" r:id="rId39"/>
    <sheet name="PKT" sheetId="43" r:id="rId40"/>
    <sheet name="CKT" sheetId="44" r:id="rId41"/>
    <sheet name="CCT" sheetId="74" r:id="rId42"/>
    <sheet name="CST" sheetId="64" r:id="rId43"/>
    <sheet name="RST" sheetId="123" r:id="rId44"/>
    <sheet name="ROT" sheetId="124" r:id="rId45"/>
    <sheet name="SOT" sheetId="125" r:id="rId46"/>
    <sheet name="RKT" sheetId="137" r:id="rId47"/>
    <sheet name="Elevation" sheetId="115" r:id="rId48"/>
    <sheet name="CompletionsDemand" sheetId="8" r:id="rId49"/>
    <sheet name="PadRates" sheetId="65" r:id="rId50"/>
    <sheet name="FlowbackRates" sheetId="75" r:id="rId51"/>
    <sheet name="WellPressure" sheetId="116" r:id="rId52"/>
    <sheet name="InitialPipelineCapacity" sheetId="118" r:id="rId53"/>
    <sheet name="InitialPipelineDiameters" sheetId="119" r:id="rId54"/>
    <sheet name="InitialDisposalCapacity" sheetId="46" r:id="rId55"/>
    <sheet name="InitialStorageCapacity" sheetId="80" r:id="rId56"/>
    <sheet name="InitialTreatmentCapacity" sheetId="67" r:id="rId57"/>
    <sheet name="ReuseMinimum" sheetId="126" r:id="rId58"/>
    <sheet name="ReuseCapacity" sheetId="127" r:id="rId59"/>
    <sheet name="ExtWaterSourcingAvailability" sheetId="47" r:id="rId60"/>
    <sheet name="CompletionsPadStorage" sheetId="72" r:id="rId61"/>
    <sheet name="PadOffloadingCapacity" sheetId="48" r:id="rId62"/>
    <sheet name="NodeCapacities" sheetId="102" r:id="rId63"/>
    <sheet name="DisposalOperatingCapacity" sheetId="112" r:id="rId64"/>
    <sheet name="DisposalOperationalCost" sheetId="49" r:id="rId65"/>
    <sheet name="TreatmentOperationalCost" sheetId="68" r:id="rId66"/>
    <sheet name="ReuseOperationalCost" sheetId="50" r:id="rId67"/>
    <sheet name="PipelineOperationalCost" sheetId="69" r:id="rId68"/>
    <sheet name="ExternalSourcingCost" sheetId="52" r:id="rId69"/>
    <sheet name="TruckingHourlyCost" sheetId="71" r:id="rId70"/>
    <sheet name="TruckingTime" sheetId="7" r:id="rId71"/>
    <sheet name="DisposalExpansionCost" sheetId="90" r:id="rId72"/>
    <sheet name="DisposalCapacityIncrements" sheetId="79" r:id="rId73"/>
    <sheet name="StorageExpansionCost" sheetId="91" r:id="rId74"/>
    <sheet name="StorageCapacityIncrements" sheetId="81" r:id="rId75"/>
    <sheet name="TreatmentExpansionCost" sheetId="92" r:id="rId76"/>
    <sheet name="TreatmentCapacityIncrements" sheetId="87" r:id="rId77"/>
    <sheet name="PipelineCapexDistanceBased" sheetId="89" r:id="rId78"/>
    <sheet name="PipelineExpansionDistance" sheetId="94" r:id="rId79"/>
    <sheet name="PipelineCapexCapacityBased" sheetId="98" r:id="rId80"/>
    <sheet name="PipelineCapacityIncrements" sheetId="97" r:id="rId81"/>
    <sheet name="PipelineDiameterValues" sheetId="78" r:id="rId82"/>
    <sheet name="TreatmentEfficiency" sheetId="107" r:id="rId83"/>
    <sheet name="RemovalEfficiency" sheetId="114" r:id="rId84"/>
    <sheet name="DesalinationTechnologies" sheetId="111" r:id="rId85"/>
    <sheet name="DesalinationSites" sheetId="113" r:id="rId86"/>
    <sheet name="BeneficialReuseCost" sheetId="138" r:id="rId87"/>
    <sheet name="BeneficialReuseCredit" sheetId="128" r:id="rId88"/>
    <sheet name="CompletionsPadOutsideSystem" sheetId="110" r:id="rId89"/>
    <sheet name="Hydraulics" sheetId="93" r:id="rId90"/>
    <sheet name="Economics" sheetId="95" r:id="rId91"/>
    <sheet name="ExternalWaterQuality" sheetId="148" r:id="rId92"/>
    <sheet name="PadWaterQuality" sheetId="99" r:id="rId93"/>
    <sheet name="StorageInitialWaterQuality" sheetId="100" r:id="rId94"/>
    <sheet name="PadStorageInitialWaterQuality" sheetId="101" r:id="rId95"/>
    <sheet name="AirEmissionCoefficients" sheetId="150" r:id="rId96"/>
    <sheet name="TreatmentEmissionCoefficients" sheetId="151" r:id="rId97"/>
    <sheet name="TreatmentExpansionLeadTime" sheetId="129" r:id="rId98"/>
    <sheet name="DisposalExpansionLeadTime" sheetId="130" r:id="rId99"/>
    <sheet name="StorageExpansionLeadTime" sheetId="131" r:id="rId100"/>
    <sheet name="PipelineExpansionLeadTime_Dist" sheetId="132" r:id="rId101"/>
    <sheet name="PipelineExpansionLeadTime_Capac" sheetId="133" r:id="rId102"/>
    <sheet name="SWDDeep" sheetId="139" r:id="rId103"/>
    <sheet name="SWDAveragePressure" sheetId="140" r:id="rId104"/>
    <sheet name="SWDProxPAWell" sheetId="141" r:id="rId105"/>
    <sheet name="SWDProxInactiveWell" sheetId="142" r:id="rId106"/>
    <sheet name="SWDProxEQ" sheetId="143" r:id="rId107"/>
    <sheet name="SWDProxFault" sheetId="144" r:id="rId108"/>
    <sheet name="SWDProxHpOrLpWell" sheetId="145" r:id="rId109"/>
    <sheet name="SWDRiskFactors" sheetId="146" r:id="rId110"/>
  </sheets>
  <definedNames>
    <definedName name="_xlnm._FilterDatabase" localSheetId="78" hidden="1">#REF!</definedName>
    <definedName name="_xlnm.Extract" localSheetId="78">PipelineExpansionDistance!$O$3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65" l="1"/>
  <c r="A1" i="8" l="1"/>
  <c r="A1" i="151" l="1"/>
  <c r="A7" i="150"/>
  <c r="A6" i="150"/>
  <c r="A5" i="150"/>
  <c r="A4" i="150"/>
  <c r="A3" i="150"/>
  <c r="A1" i="150"/>
  <c r="A1" i="148" l="1"/>
  <c r="A1" i="52"/>
  <c r="A1" i="47"/>
  <c r="A1" i="116" l="1"/>
  <c r="A1" i="138" l="1"/>
  <c r="A1" i="128"/>
  <c r="A1" i="131" l="1"/>
  <c r="A1" i="133"/>
  <c r="A1" i="130"/>
  <c r="A1" i="129"/>
  <c r="A1" i="132"/>
  <c r="A1" i="127"/>
  <c r="B1" i="126" l="1"/>
  <c r="A1" i="101" l="1"/>
  <c r="A1" i="100"/>
  <c r="A1" i="99"/>
  <c r="A1" i="78"/>
  <c r="A1" i="97"/>
  <c r="A1" i="98"/>
  <c r="A1" i="94"/>
  <c r="A1" i="89"/>
  <c r="A1" i="87"/>
  <c r="A1" i="92"/>
  <c r="A1" i="81"/>
  <c r="A1" i="91"/>
  <c r="A1" i="79"/>
  <c r="A1" i="90"/>
  <c r="A1" i="71"/>
  <c r="A1" i="69"/>
  <c r="A1" i="50"/>
  <c r="A1" i="68"/>
  <c r="A1" i="49"/>
  <c r="A1" i="102"/>
  <c r="A1" i="48"/>
  <c r="A1" i="72"/>
  <c r="A1" i="67"/>
  <c r="A1" i="80"/>
  <c r="A1" i="46"/>
  <c r="A1" i="118"/>
  <c r="A1" i="75"/>
  <c r="BA18" i="116" l="1"/>
  <c r="AZ17" i="116"/>
  <c r="AW17" i="116"/>
  <c r="AO17" i="116"/>
  <c r="AN17" i="116"/>
  <c r="AM17" i="116"/>
  <c r="AL17" i="116"/>
  <c r="AJ17" i="116"/>
  <c r="AG17" i="116"/>
  <c r="Y17" i="116"/>
  <c r="X17" i="116"/>
  <c r="W17" i="116"/>
  <c r="V17" i="116"/>
  <c r="T17" i="116"/>
  <c r="Q17" i="116"/>
  <c r="BA17" i="116"/>
  <c r="AW16" i="116"/>
  <c r="AV16" i="116"/>
  <c r="AU16" i="116"/>
  <c r="AT16" i="116"/>
  <c r="AR16" i="116"/>
  <c r="AO16" i="116"/>
  <c r="AG16" i="116"/>
  <c r="AF16" i="116"/>
  <c r="AE16" i="116"/>
  <c r="AD16" i="116"/>
  <c r="AB16" i="116"/>
  <c r="Y16" i="116"/>
  <c r="V16" i="116"/>
  <c r="Q16" i="116"/>
  <c r="P16" i="116"/>
  <c r="O16" i="116"/>
  <c r="N16" i="116"/>
  <c r="L16" i="116"/>
  <c r="I16" i="116"/>
  <c r="F16" i="116"/>
  <c r="AS16" i="116"/>
  <c r="AW15" i="116"/>
  <c r="AZ14" i="116"/>
  <c r="AW14" i="116"/>
  <c r="AT14" i="116"/>
  <c r="AP14" i="116"/>
  <c r="AO14" i="116"/>
  <c r="AN14" i="116"/>
  <c r="AM14" i="116"/>
  <c r="AL14" i="116"/>
  <c r="AJ14" i="116"/>
  <c r="AG14" i="116"/>
  <c r="AD14" i="116"/>
  <c r="Z14" i="116"/>
  <c r="Y14" i="116"/>
  <c r="X14" i="116"/>
  <c r="W14" i="116"/>
  <c r="V14" i="116"/>
  <c r="T14" i="116"/>
  <c r="Q14" i="116"/>
  <c r="N14" i="116"/>
  <c r="J14" i="116"/>
  <c r="I14" i="116"/>
  <c r="H14" i="116"/>
  <c r="G14" i="116"/>
  <c r="F14" i="116"/>
  <c r="D14" i="116"/>
  <c r="BA14" i="116"/>
  <c r="BA13" i="116"/>
  <c r="AS13" i="116"/>
  <c r="AR13" i="116"/>
  <c r="AQ13" i="116"/>
  <c r="AP13" i="116"/>
  <c r="AN13" i="116"/>
  <c r="AK13" i="116"/>
  <c r="AC13" i="116"/>
  <c r="AB13" i="116"/>
  <c r="AA13" i="116"/>
  <c r="Z13" i="116"/>
  <c r="X13" i="116"/>
  <c r="U13" i="116"/>
  <c r="M13" i="116"/>
  <c r="L13" i="116"/>
  <c r="K13" i="116"/>
  <c r="J13" i="116"/>
  <c r="H13" i="116"/>
  <c r="E13" i="116"/>
  <c r="AO13" i="116"/>
  <c r="AX12" i="116"/>
  <c r="AW12" i="116"/>
  <c r="AV12" i="116"/>
  <c r="AU12" i="116"/>
  <c r="AT12" i="116"/>
  <c r="AR12" i="116"/>
  <c r="AO12" i="116"/>
  <c r="AL12" i="116"/>
  <c r="AG12" i="116"/>
  <c r="AF12" i="116"/>
  <c r="AE12" i="116"/>
  <c r="AD12" i="116"/>
  <c r="AB12" i="116"/>
  <c r="Y12" i="116"/>
  <c r="V12" i="116"/>
  <c r="R12" i="116"/>
  <c r="Q12" i="116"/>
  <c r="P12" i="116"/>
  <c r="O12" i="116"/>
  <c r="N12" i="116"/>
  <c r="L12" i="116"/>
  <c r="I12" i="116"/>
  <c r="F12" i="116"/>
  <c r="AS12" i="116"/>
  <c r="AW11" i="116"/>
  <c r="AZ10" i="116"/>
  <c r="AW10" i="116"/>
  <c r="AT10" i="116"/>
  <c r="AP10" i="116"/>
  <c r="AO10" i="116"/>
  <c r="AN10" i="116"/>
  <c r="AM10" i="116"/>
  <c r="AL10" i="116"/>
  <c r="AJ10" i="116"/>
  <c r="AG10" i="116"/>
  <c r="AD10" i="116"/>
  <c r="Z10" i="116"/>
  <c r="Y10" i="116"/>
  <c r="X10" i="116"/>
  <c r="W10" i="116"/>
  <c r="V10" i="116"/>
  <c r="T10" i="116"/>
  <c r="Q10" i="116"/>
  <c r="N10" i="116"/>
  <c r="J10" i="116"/>
  <c r="I10" i="116"/>
  <c r="H10" i="116"/>
  <c r="G10" i="116"/>
  <c r="F10" i="116"/>
  <c r="D10" i="116"/>
  <c r="BA10" i="116"/>
  <c r="BA9" i="116"/>
  <c r="AS9" i="116"/>
  <c r="AR9" i="116"/>
  <c r="AQ9" i="116"/>
  <c r="AP9" i="116"/>
  <c r="AN9" i="116"/>
  <c r="AK9" i="116"/>
  <c r="AC9" i="116"/>
  <c r="AB9" i="116"/>
  <c r="AA9" i="116"/>
  <c r="Z9" i="116"/>
  <c r="X9" i="116"/>
  <c r="U9" i="116"/>
  <c r="M9" i="116"/>
  <c r="L9" i="116"/>
  <c r="K9" i="116"/>
  <c r="J9" i="116"/>
  <c r="H9" i="116"/>
  <c r="E9" i="116"/>
  <c r="AO9" i="116"/>
  <c r="AW8" i="116"/>
  <c r="AV8" i="116"/>
  <c r="AU8" i="116"/>
  <c r="AT8" i="116"/>
  <c r="AR8" i="116"/>
  <c r="AO8" i="116"/>
  <c r="AL8" i="116"/>
  <c r="AG8" i="116"/>
  <c r="AF8" i="116"/>
  <c r="AE8" i="116"/>
  <c r="AD8" i="116"/>
  <c r="AB8" i="116"/>
  <c r="Y8" i="116"/>
  <c r="V8" i="116"/>
  <c r="Q8" i="116"/>
  <c r="P8" i="116"/>
  <c r="O8" i="116"/>
  <c r="N8" i="116"/>
  <c r="L8" i="116"/>
  <c r="I8" i="116"/>
  <c r="F8" i="116"/>
  <c r="AS8" i="116"/>
  <c r="AW7" i="116"/>
  <c r="AZ6" i="116"/>
  <c r="AW6" i="116"/>
  <c r="AT6" i="116"/>
  <c r="AP6" i="116"/>
  <c r="AO6" i="116"/>
  <c r="AN6" i="116"/>
  <c r="AM6" i="116"/>
  <c r="AL6" i="116"/>
  <c r="AJ6" i="116"/>
  <c r="AG6" i="116"/>
  <c r="AD6" i="116"/>
  <c r="Z6" i="116"/>
  <c r="Y6" i="116"/>
  <c r="X6" i="116"/>
  <c r="W6" i="116"/>
  <c r="V6" i="116"/>
  <c r="T6" i="116"/>
  <c r="Q6" i="116"/>
  <c r="N6" i="116"/>
  <c r="J6" i="116"/>
  <c r="I6" i="116"/>
  <c r="H6" i="116"/>
  <c r="G6" i="116"/>
  <c r="F6" i="116"/>
  <c r="D6" i="116"/>
  <c r="BA6" i="116"/>
  <c r="BA5" i="116"/>
  <c r="AS5" i="116"/>
  <c r="AR5" i="116"/>
  <c r="AQ5" i="116"/>
  <c r="AP5" i="116"/>
  <c r="AN5" i="116"/>
  <c r="AK5" i="116"/>
  <c r="AC5" i="116"/>
  <c r="AB5" i="116"/>
  <c r="AA5" i="116"/>
  <c r="Z5" i="116"/>
  <c r="X5" i="116"/>
  <c r="U5" i="116"/>
  <c r="M5" i="116"/>
  <c r="L5" i="116"/>
  <c r="K5" i="116"/>
  <c r="J5" i="116"/>
  <c r="H5" i="116"/>
  <c r="E5" i="116"/>
  <c r="AO5" i="116"/>
  <c r="AW4" i="116"/>
  <c r="AV4" i="116"/>
  <c r="AU4" i="116"/>
  <c r="AT4" i="116"/>
  <c r="AR4" i="116"/>
  <c r="AO4" i="116"/>
  <c r="AL4" i="116"/>
  <c r="AG4" i="116"/>
  <c r="AF4" i="116"/>
  <c r="AE4" i="116"/>
  <c r="AD4" i="116"/>
  <c r="AB4" i="116"/>
  <c r="Y4" i="116"/>
  <c r="V4" i="116"/>
  <c r="R4" i="116"/>
  <c r="Q4" i="116"/>
  <c r="P4" i="116"/>
  <c r="O4" i="116"/>
  <c r="N4" i="116"/>
  <c r="L4" i="116"/>
  <c r="I4" i="116"/>
  <c r="F4" i="116"/>
  <c r="AS4" i="116"/>
  <c r="AW3" i="116"/>
  <c r="AI3" i="116" l="1"/>
  <c r="D11" i="116"/>
  <c r="D15" i="116"/>
  <c r="U3" i="116"/>
  <c r="U7" i="116"/>
  <c r="E11" i="116"/>
  <c r="AK11" i="116"/>
  <c r="BA11" i="116"/>
  <c r="E15" i="116"/>
  <c r="U15" i="116"/>
  <c r="AK15" i="116"/>
  <c r="BA15" i="116"/>
  <c r="AO18" i="116"/>
  <c r="R3" i="116"/>
  <c r="AI7" i="116"/>
  <c r="AZ11" i="116"/>
  <c r="E3" i="116"/>
  <c r="E7" i="116"/>
  <c r="U11" i="116"/>
  <c r="F3" i="116"/>
  <c r="V3" i="116"/>
  <c r="AH4" i="116"/>
  <c r="AX4" i="116"/>
  <c r="N5" i="116"/>
  <c r="AD5" i="116"/>
  <c r="AT5" i="116"/>
  <c r="F7" i="116"/>
  <c r="V7" i="116"/>
  <c r="AL7" i="116"/>
  <c r="R8" i="116"/>
  <c r="AH8" i="116"/>
  <c r="AX8" i="116"/>
  <c r="N9" i="116"/>
  <c r="AD9" i="116"/>
  <c r="AT9" i="116"/>
  <c r="F11" i="116"/>
  <c r="V11" i="116"/>
  <c r="AL11" i="116"/>
  <c r="AH12" i="116"/>
  <c r="AD13" i="116"/>
  <c r="AT13" i="116"/>
  <c r="F15" i="116"/>
  <c r="V15" i="116"/>
  <c r="AL15" i="116"/>
  <c r="R16" i="116"/>
  <c r="AH16" i="116"/>
  <c r="AX16" i="116"/>
  <c r="Z17" i="116"/>
  <c r="AP17" i="116"/>
  <c r="AP18" i="116"/>
  <c r="R7" i="116"/>
  <c r="AY3" i="116"/>
  <c r="AJ3" i="116"/>
  <c r="AK7" i="116"/>
  <c r="G3" i="116"/>
  <c r="W3" i="116"/>
  <c r="AM3" i="116"/>
  <c r="C4" i="116"/>
  <c r="S4" i="116"/>
  <c r="AI4" i="116"/>
  <c r="AY4" i="116"/>
  <c r="O5" i="116"/>
  <c r="AE5" i="116"/>
  <c r="AU5" i="116"/>
  <c r="K6" i="116"/>
  <c r="AA6" i="116"/>
  <c r="AQ6" i="116"/>
  <c r="G7" i="116"/>
  <c r="W7" i="116"/>
  <c r="AM7" i="116"/>
  <c r="C8" i="116"/>
  <c r="S8" i="116"/>
  <c r="AI8" i="116"/>
  <c r="AY8" i="116"/>
  <c r="O9" i="116"/>
  <c r="AE9" i="116"/>
  <c r="AU9" i="116"/>
  <c r="K10" i="116"/>
  <c r="AA10" i="116"/>
  <c r="AQ10" i="116"/>
  <c r="G11" i="116"/>
  <c r="W11" i="116"/>
  <c r="AM11" i="116"/>
  <c r="C12" i="116"/>
  <c r="S12" i="116"/>
  <c r="AI12" i="116"/>
  <c r="AY12" i="116"/>
  <c r="O13" i="116"/>
  <c r="AE13" i="116"/>
  <c r="AU13" i="116"/>
  <c r="K14" i="116"/>
  <c r="AA14" i="116"/>
  <c r="AQ14" i="116"/>
  <c r="G15" i="116"/>
  <c r="W15" i="116"/>
  <c r="AM15" i="116"/>
  <c r="C16" i="116"/>
  <c r="S16" i="116"/>
  <c r="AI16" i="116"/>
  <c r="AY16" i="116"/>
  <c r="AA17" i="116"/>
  <c r="AQ17" i="116"/>
  <c r="AQ18" i="116"/>
  <c r="AH15" i="116"/>
  <c r="AY7" i="116"/>
  <c r="C11" i="116"/>
  <c r="AI15" i="116"/>
  <c r="AJ7" i="116"/>
  <c r="AZ15" i="116"/>
  <c r="AK3" i="116"/>
  <c r="AL3" i="116"/>
  <c r="H3" i="116"/>
  <c r="X3" i="116"/>
  <c r="AN3" i="116"/>
  <c r="D4" i="116"/>
  <c r="T4" i="116"/>
  <c r="AJ4" i="116"/>
  <c r="AZ4" i="116"/>
  <c r="P5" i="116"/>
  <c r="AF5" i="116"/>
  <c r="AV5" i="116"/>
  <c r="L6" i="116"/>
  <c r="AB6" i="116"/>
  <c r="AR6" i="116"/>
  <c r="H7" i="116"/>
  <c r="X7" i="116"/>
  <c r="AN7" i="116"/>
  <c r="D8" i="116"/>
  <c r="T8" i="116"/>
  <c r="AJ8" i="116"/>
  <c r="AZ8" i="116"/>
  <c r="P9" i="116"/>
  <c r="AF9" i="116"/>
  <c r="AV9" i="116"/>
  <c r="L10" i="116"/>
  <c r="AB10" i="116"/>
  <c r="AR10" i="116"/>
  <c r="H11" i="116"/>
  <c r="X11" i="116"/>
  <c r="AN11" i="116"/>
  <c r="D12" i="116"/>
  <c r="T12" i="116"/>
  <c r="AJ12" i="116"/>
  <c r="AZ12" i="116"/>
  <c r="P13" i="116"/>
  <c r="AF13" i="116"/>
  <c r="AV13" i="116"/>
  <c r="L14" i="116"/>
  <c r="AB14" i="116"/>
  <c r="AR14" i="116"/>
  <c r="H15" i="116"/>
  <c r="X15" i="116"/>
  <c r="AN15" i="116"/>
  <c r="D16" i="116"/>
  <c r="T16" i="116"/>
  <c r="AJ16" i="116"/>
  <c r="AZ16" i="116"/>
  <c r="AB17" i="116"/>
  <c r="AR17" i="116"/>
  <c r="AR18" i="116"/>
  <c r="AX11" i="116"/>
  <c r="C15" i="116"/>
  <c r="T15" i="116"/>
  <c r="BA7" i="116"/>
  <c r="N13" i="116"/>
  <c r="I3" i="116"/>
  <c r="Y3" i="116"/>
  <c r="AO3" i="116"/>
  <c r="E4" i="116"/>
  <c r="U4" i="116"/>
  <c r="AK4" i="116"/>
  <c r="BA4" i="116"/>
  <c r="Q5" i="116"/>
  <c r="AG5" i="116"/>
  <c r="AW5" i="116"/>
  <c r="M6" i="116"/>
  <c r="AC6" i="116"/>
  <c r="AS6" i="116"/>
  <c r="I7" i="116"/>
  <c r="Y7" i="116"/>
  <c r="AO7" i="116"/>
  <c r="E8" i="116"/>
  <c r="U8" i="116"/>
  <c r="AK8" i="116"/>
  <c r="BA8" i="116"/>
  <c r="Q9" i="116"/>
  <c r="AG9" i="116"/>
  <c r="AW9" i="116"/>
  <c r="M10" i="116"/>
  <c r="AC10" i="116"/>
  <c r="AS10" i="116"/>
  <c r="I11" i="116"/>
  <c r="Y11" i="116"/>
  <c r="AO11" i="116"/>
  <c r="E12" i="116"/>
  <c r="U12" i="116"/>
  <c r="AK12" i="116"/>
  <c r="BA12" i="116"/>
  <c r="Q13" i="116"/>
  <c r="AG13" i="116"/>
  <c r="AW13" i="116"/>
  <c r="M14" i="116"/>
  <c r="AC14" i="116"/>
  <c r="AS14" i="116"/>
  <c r="I15" i="116"/>
  <c r="Y15" i="116"/>
  <c r="AO15" i="116"/>
  <c r="E16" i="116"/>
  <c r="U16" i="116"/>
  <c r="AK16" i="116"/>
  <c r="BA16" i="116"/>
  <c r="AC17" i="116"/>
  <c r="AS17" i="116"/>
  <c r="AS18" i="116"/>
  <c r="AH7" i="116"/>
  <c r="C3" i="116"/>
  <c r="D3" i="116"/>
  <c r="AN18" i="116"/>
  <c r="Z3" i="116"/>
  <c r="AP3" i="116"/>
  <c r="J7" i="116"/>
  <c r="AP7" i="116"/>
  <c r="R9" i="116"/>
  <c r="AH9" i="116"/>
  <c r="AX9" i="116"/>
  <c r="J11" i="116"/>
  <c r="Z11" i="116"/>
  <c r="AP11" i="116"/>
  <c r="R13" i="116"/>
  <c r="AH13" i="116"/>
  <c r="AX13" i="116"/>
  <c r="J15" i="116"/>
  <c r="Z15" i="116"/>
  <c r="AP15" i="116"/>
  <c r="AL16" i="116"/>
  <c r="AD17" i="116"/>
  <c r="AT17" i="116"/>
  <c r="AT18" i="116"/>
  <c r="S3" i="116"/>
  <c r="S7" i="116"/>
  <c r="S11" i="116"/>
  <c r="AZ7" i="116"/>
  <c r="AJ11" i="116"/>
  <c r="K3" i="116"/>
  <c r="AA3" i="116"/>
  <c r="AQ3" i="116"/>
  <c r="G4" i="116"/>
  <c r="W4" i="116"/>
  <c r="AM4" i="116"/>
  <c r="C5" i="116"/>
  <c r="S5" i="116"/>
  <c r="AI5" i="116"/>
  <c r="AY5" i="116"/>
  <c r="O6" i="116"/>
  <c r="AE6" i="116"/>
  <c r="AU6" i="116"/>
  <c r="K7" i="116"/>
  <c r="AA7" i="116"/>
  <c r="AQ7" i="116"/>
  <c r="G8" i="116"/>
  <c r="W8" i="116"/>
  <c r="AM8" i="116"/>
  <c r="C9" i="116"/>
  <c r="S9" i="116"/>
  <c r="AI9" i="116"/>
  <c r="AY9" i="116"/>
  <c r="O10" i="116"/>
  <c r="AE10" i="116"/>
  <c r="AU10" i="116"/>
  <c r="K11" i="116"/>
  <c r="AA11" i="116"/>
  <c r="AQ11" i="116"/>
  <c r="G12" i="116"/>
  <c r="W12" i="116"/>
  <c r="AM12" i="116"/>
  <c r="C13" i="116"/>
  <c r="S13" i="116"/>
  <c r="AI13" i="116"/>
  <c r="AY13" i="116"/>
  <c r="O14" i="116"/>
  <c r="AE14" i="116"/>
  <c r="AU14" i="116"/>
  <c r="K15" i="116"/>
  <c r="AA15" i="116"/>
  <c r="AQ15" i="116"/>
  <c r="G16" i="116"/>
  <c r="W16" i="116"/>
  <c r="AM16" i="116"/>
  <c r="O17" i="116"/>
  <c r="AE17" i="116"/>
  <c r="AU17" i="116"/>
  <c r="AU18" i="116"/>
  <c r="AH3" i="116"/>
  <c r="AY15" i="116"/>
  <c r="AZ3" i="116"/>
  <c r="D7" i="116"/>
  <c r="BA3" i="116"/>
  <c r="J3" i="116"/>
  <c r="R5" i="116"/>
  <c r="AH5" i="116"/>
  <c r="AX5" i="116"/>
  <c r="Z7" i="116"/>
  <c r="L3" i="116"/>
  <c r="AB3" i="116"/>
  <c r="AR3" i="116"/>
  <c r="H4" i="116"/>
  <c r="X4" i="116"/>
  <c r="AN4" i="116"/>
  <c r="D5" i="116"/>
  <c r="T5" i="116"/>
  <c r="AJ5" i="116"/>
  <c r="AZ5" i="116"/>
  <c r="P6" i="116"/>
  <c r="AF6" i="116"/>
  <c r="AV6" i="116"/>
  <c r="L7" i="116"/>
  <c r="AB7" i="116"/>
  <c r="AR7" i="116"/>
  <c r="H8" i="116"/>
  <c r="X8" i="116"/>
  <c r="AN8" i="116"/>
  <c r="D9" i="116"/>
  <c r="T9" i="116"/>
  <c r="AJ9" i="116"/>
  <c r="AZ9" i="116"/>
  <c r="P10" i="116"/>
  <c r="AF10" i="116"/>
  <c r="AV10" i="116"/>
  <c r="L11" i="116"/>
  <c r="AB11" i="116"/>
  <c r="AR11" i="116"/>
  <c r="H12" i="116"/>
  <c r="X12" i="116"/>
  <c r="AN12" i="116"/>
  <c r="D13" i="116"/>
  <c r="T13" i="116"/>
  <c r="AJ13" i="116"/>
  <c r="AZ13" i="116"/>
  <c r="P14" i="116"/>
  <c r="AF14" i="116"/>
  <c r="AV14" i="116"/>
  <c r="L15" i="116"/>
  <c r="AB15" i="116"/>
  <c r="AR15" i="116"/>
  <c r="H16" i="116"/>
  <c r="X16" i="116"/>
  <c r="AN16" i="116"/>
  <c r="P17" i="116"/>
  <c r="AF17" i="116"/>
  <c r="AV17" i="116"/>
  <c r="AV18" i="116"/>
  <c r="AI11" i="116"/>
  <c r="T11" i="116"/>
  <c r="AJ15" i="116"/>
  <c r="AS3" i="116"/>
  <c r="AC11" i="116"/>
  <c r="M15" i="116"/>
  <c r="AC15" i="116"/>
  <c r="AS15" i="116"/>
  <c r="AW18" i="116"/>
  <c r="AX3" i="116"/>
  <c r="AH11" i="116"/>
  <c r="AM18" i="116"/>
  <c r="T3" i="116"/>
  <c r="T7" i="116"/>
  <c r="M3" i="116"/>
  <c r="M7" i="116"/>
  <c r="AC7" i="116"/>
  <c r="AS7" i="116"/>
  <c r="M11" i="116"/>
  <c r="N3" i="116"/>
  <c r="AD3" i="116"/>
  <c r="AT3" i="116"/>
  <c r="J4" i="116"/>
  <c r="Z4" i="116"/>
  <c r="AP4" i="116"/>
  <c r="F5" i="116"/>
  <c r="V5" i="116"/>
  <c r="AL5" i="116"/>
  <c r="R6" i="116"/>
  <c r="AH6" i="116"/>
  <c r="AX6" i="116"/>
  <c r="N7" i="116"/>
  <c r="AD7" i="116"/>
  <c r="AT7" i="116"/>
  <c r="J8" i="116"/>
  <c r="Z8" i="116"/>
  <c r="AP8" i="116"/>
  <c r="F9" i="116"/>
  <c r="V9" i="116"/>
  <c r="AL9" i="116"/>
  <c r="R10" i="116"/>
  <c r="AH10" i="116"/>
  <c r="AX10" i="116"/>
  <c r="N11" i="116"/>
  <c r="AD11" i="116"/>
  <c r="AT11" i="116"/>
  <c r="J12" i="116"/>
  <c r="Z12" i="116"/>
  <c r="AP12" i="116"/>
  <c r="F13" i="116"/>
  <c r="V13" i="116"/>
  <c r="AL13" i="116"/>
  <c r="R14" i="116"/>
  <c r="AH14" i="116"/>
  <c r="AX14" i="116"/>
  <c r="N15" i="116"/>
  <c r="AD15" i="116"/>
  <c r="AT15" i="116"/>
  <c r="J16" i="116"/>
  <c r="Z16" i="116"/>
  <c r="AP16" i="116"/>
  <c r="R17" i="116"/>
  <c r="AH17" i="116"/>
  <c r="AX17" i="116"/>
  <c r="AX18" i="116"/>
  <c r="AX15" i="116"/>
  <c r="C7" i="116"/>
  <c r="S15" i="116"/>
  <c r="AC3" i="116"/>
  <c r="AS11" i="116"/>
  <c r="O3" i="116"/>
  <c r="AE3" i="116"/>
  <c r="AU3" i="116"/>
  <c r="K4" i="116"/>
  <c r="AA4" i="116"/>
  <c r="AQ4" i="116"/>
  <c r="G5" i="116"/>
  <c r="W5" i="116"/>
  <c r="AM5" i="116"/>
  <c r="C6" i="116"/>
  <c r="S6" i="116"/>
  <c r="AI6" i="116"/>
  <c r="AY6" i="116"/>
  <c r="O7" i="116"/>
  <c r="AE7" i="116"/>
  <c r="AU7" i="116"/>
  <c r="K8" i="116"/>
  <c r="AA8" i="116"/>
  <c r="AQ8" i="116"/>
  <c r="G9" i="116"/>
  <c r="W9" i="116"/>
  <c r="AM9" i="116"/>
  <c r="C10" i="116"/>
  <c r="S10" i="116"/>
  <c r="AI10" i="116"/>
  <c r="AY10" i="116"/>
  <c r="O11" i="116"/>
  <c r="AE11" i="116"/>
  <c r="AU11" i="116"/>
  <c r="K12" i="116"/>
  <c r="AA12" i="116"/>
  <c r="AQ12" i="116"/>
  <c r="G13" i="116"/>
  <c r="W13" i="116"/>
  <c r="AM13" i="116"/>
  <c r="C14" i="116"/>
  <c r="S14" i="116"/>
  <c r="AI14" i="116"/>
  <c r="AY14" i="116"/>
  <c r="O15" i="116"/>
  <c r="AE15" i="116"/>
  <c r="AU15" i="116"/>
  <c r="K16" i="116"/>
  <c r="AA16" i="116"/>
  <c r="AQ16" i="116"/>
  <c r="S17" i="116"/>
  <c r="AI17" i="116"/>
  <c r="AY17" i="116"/>
  <c r="AY18" i="116"/>
  <c r="R11" i="116"/>
  <c r="AY11" i="116"/>
  <c r="AF3" i="116"/>
  <c r="P7" i="116"/>
  <c r="AF7" i="116"/>
  <c r="P11" i="116"/>
  <c r="AF11" i="116"/>
  <c r="AV11" i="116"/>
  <c r="P15" i="116"/>
  <c r="AF15" i="116"/>
  <c r="AV15" i="116"/>
  <c r="AZ18" i="116"/>
  <c r="AX7" i="116"/>
  <c r="R15" i="116"/>
  <c r="P3" i="116"/>
  <c r="AV3" i="116"/>
  <c r="AV7" i="116"/>
  <c r="Q3" i="116"/>
  <c r="AG3" i="116"/>
  <c r="M4" i="116"/>
  <c r="AC4" i="116"/>
  <c r="I5" i="116"/>
  <c r="Y5" i="116"/>
  <c r="E6" i="116"/>
  <c r="U6" i="116"/>
  <c r="AK6" i="116"/>
  <c r="Q7" i="116"/>
  <c r="AG7" i="116"/>
  <c r="M8" i="116"/>
  <c r="AC8" i="116"/>
  <c r="I9" i="116"/>
  <c r="Y9" i="116"/>
  <c r="E10" i="116"/>
  <c r="U10" i="116"/>
  <c r="AK10" i="116"/>
  <c r="Q11" i="116"/>
  <c r="AG11" i="116"/>
  <c r="M12" i="116"/>
  <c r="AC12" i="116"/>
  <c r="I13" i="116"/>
  <c r="Y13" i="116"/>
  <c r="E14" i="116"/>
  <c r="U14" i="116"/>
  <c r="AK14" i="116"/>
  <c r="Q15" i="116"/>
  <c r="AG15" i="116"/>
  <c r="M16" i="116"/>
  <c r="AC16" i="116"/>
  <c r="U17" i="116"/>
  <c r="AK17" i="116"/>
  <c r="A1" i="112" l="1"/>
  <c r="AL4" i="75" l="1"/>
  <c r="N3" i="75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AM3" i="47"/>
  <c r="AN3" i="47"/>
  <c r="AO3" i="47"/>
  <c r="AP3" i="47"/>
  <c r="AQ3" i="47"/>
  <c r="AR3" i="47"/>
  <c r="AS3" i="47"/>
  <c r="AT3" i="47"/>
  <c r="AU3" i="47"/>
  <c r="AV3" i="47"/>
  <c r="AW3" i="47"/>
  <c r="AX3" i="47"/>
  <c r="AY3" i="47"/>
  <c r="AZ3" i="47"/>
  <c r="BA3" i="47"/>
  <c r="C4" i="47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AK4" i="47"/>
  <c r="AL4" i="47"/>
  <c r="AM4" i="47"/>
  <c r="AN4" i="47"/>
  <c r="AO4" i="47"/>
  <c r="AP4" i="47"/>
  <c r="AQ4" i="47"/>
  <c r="AR4" i="47"/>
  <c r="AS4" i="47"/>
  <c r="AT4" i="47"/>
  <c r="AU4" i="47"/>
  <c r="AV4" i="47"/>
  <c r="AW4" i="47"/>
  <c r="AX4" i="47"/>
  <c r="AY4" i="47"/>
  <c r="AZ4" i="47"/>
  <c r="BA4" i="47"/>
  <c r="B4" i="47"/>
  <c r="B3" i="47"/>
  <c r="I17" i="94" l="1"/>
  <c r="BA3" i="75"/>
  <c r="AV4" i="75"/>
  <c r="R3" i="75" l="1"/>
  <c r="T3" i="75"/>
  <c r="AC3" i="75"/>
  <c r="Q3" i="75"/>
  <c r="AD3" i="75"/>
  <c r="AZ3" i="75"/>
  <c r="AF3" i="75"/>
  <c r="AO3" i="75"/>
  <c r="AP3" i="75"/>
  <c r="AR3" i="75"/>
  <c r="AW4" i="75"/>
  <c r="AX4" i="75"/>
  <c r="S3" i="75"/>
  <c r="AE3" i="75"/>
  <c r="AQ3" i="75"/>
  <c r="AM4" i="75"/>
  <c r="AY4" i="75"/>
  <c r="U3" i="75"/>
  <c r="AG3" i="75"/>
  <c r="AS3" i="75"/>
  <c r="AO4" i="75"/>
  <c r="BA4" i="75"/>
  <c r="V3" i="75"/>
  <c r="AH3" i="75"/>
  <c r="AT3" i="75"/>
  <c r="AP4" i="75"/>
  <c r="AZ4" i="75"/>
  <c r="W3" i="75"/>
  <c r="AI3" i="75"/>
  <c r="AU3" i="75"/>
  <c r="AQ4" i="75"/>
  <c r="AN4" i="75"/>
  <c r="X3" i="75"/>
  <c r="AJ3" i="75"/>
  <c r="AV3" i="75"/>
  <c r="AR4" i="75"/>
  <c r="Y3" i="75"/>
  <c r="AK3" i="75"/>
  <c r="AW3" i="75"/>
  <c r="AS4" i="75"/>
  <c r="Z3" i="75"/>
  <c r="AL3" i="75"/>
  <c r="AX3" i="75"/>
  <c r="AT4" i="75"/>
  <c r="O3" i="75"/>
  <c r="AA3" i="75"/>
  <c r="AM3" i="75"/>
  <c r="AY3" i="75"/>
  <c r="AU4" i="75"/>
  <c r="P3" i="75"/>
  <c r="AB3" i="75"/>
  <c r="AN3" i="75"/>
</calcChain>
</file>

<file path=xl/sharedStrings.xml><?xml version="1.0" encoding="utf-8"?>
<sst xmlns="http://schemas.openxmlformats.org/spreadsheetml/2006/main" count="3633" uniqueCount="349">
  <si>
    <t>Data Input Spreadsheet Overview</t>
  </si>
  <si>
    <t xml:space="preserve">Purpose: This data input spreadsheet collects all the case study specific data that is </t>
  </si>
  <si>
    <t xml:space="preserve">fed into the optimization model. An advanced algorithm then considers this data along </t>
  </si>
  <si>
    <t>with any/all constraints specified to determine the best possible solution(s). Those</t>
  </si>
  <si>
    <t>solutions are then returned to the user as specific recommendations for action (e.g.</t>
  </si>
  <si>
    <t>haul 2,340 bbl of produced water from production pad A to completions pad B on</t>
  </si>
  <si>
    <t>Tuesday, March 23). See Figure 1 for a process illustration.</t>
  </si>
  <si>
    <t>Note 1: None of this data is stored in the model permanently. The model and the data</t>
  </si>
  <si>
    <t xml:space="preserve">are intentionally kept separated within the optimization framework. </t>
  </si>
  <si>
    <t xml:space="preserve">Note 2: Data is assumed to be deterministic initially. Eventually, users will be able </t>
  </si>
  <si>
    <t>to specify which inputs are uncertain, and the framework will aim to determine</t>
  </si>
  <si>
    <t>"robustified" recommendations that are near-optimal across a range of uncertainty</t>
  </si>
  <si>
    <t xml:space="preserve">realizations (i.e., "stochastic optimization"). </t>
  </si>
  <si>
    <t>Data Input Tabs</t>
  </si>
  <si>
    <t>Description</t>
  </si>
  <si>
    <t>Production Pads</t>
  </si>
  <si>
    <t>List of all production pads to be considered</t>
  </si>
  <si>
    <t>Completion Pads</t>
  </si>
  <si>
    <t>List of all completion pads to be considered</t>
  </si>
  <si>
    <t>SWD Sites</t>
  </si>
  <si>
    <t>List of all disposal sites to be considered</t>
  </si>
  <si>
    <t>Drive Times</t>
  </si>
  <si>
    <t>Estimated drive times between locations</t>
  </si>
  <si>
    <t>Completions Demand</t>
  </si>
  <si>
    <t>Forecasted water demand at completions sites</t>
  </si>
  <si>
    <t>Flowback Rates</t>
  </si>
  <si>
    <t>Forecasted flowback rates (post-completions)</t>
  </si>
  <si>
    <t>Production Rates</t>
  </si>
  <si>
    <t>Forecated production rates (post-flowback)</t>
  </si>
  <si>
    <t>Disposal Capacity</t>
  </si>
  <si>
    <t>Forecasted disposal capacity</t>
  </si>
  <si>
    <t>Figure 1: Illustration of the optimization workflow</t>
  </si>
  <si>
    <t>Reuse Costs</t>
  </si>
  <si>
    <t>Cost for FR/chemicals to reuse produced water</t>
  </si>
  <si>
    <t>Disposal Costs</t>
  </si>
  <si>
    <t>Cost for disposing produced water</t>
  </si>
  <si>
    <t>Hauling Rates</t>
  </si>
  <si>
    <t>Cost for hauling produced water via trucks</t>
  </si>
  <si>
    <t>Transfer Lines</t>
  </si>
  <si>
    <t>List of all existing water transfer lines</t>
  </si>
  <si>
    <t>Pipeline Expansion</t>
  </si>
  <si>
    <t>Cost for installing new transfer lines</t>
  </si>
  <si>
    <t>Units</t>
  </si>
  <si>
    <t>INDEX</t>
  </si>
  <si>
    <t>VALUE</t>
  </si>
  <si>
    <t>Unit Description</t>
  </si>
  <si>
    <t>Unit Relationships</t>
  </si>
  <si>
    <t>volume</t>
  </si>
  <si>
    <t>bbl</t>
  </si>
  <si>
    <t xml:space="preserve">Volume units are used to represent water flows (e.g. bbl/day), flow capacities, storage capacity, costs etc. </t>
  </si>
  <si>
    <t>=</t>
  </si>
  <si>
    <t>42 gallons</t>
  </si>
  <si>
    <t>kbbl</t>
  </si>
  <si>
    <t>1000 bbl</t>
  </si>
  <si>
    <t>distance</t>
  </si>
  <si>
    <t>mile</t>
  </si>
  <si>
    <t>Distance units are used for defining lengths of pipelines and pipeline expansion costs</t>
  </si>
  <si>
    <t>kmeter</t>
  </si>
  <si>
    <t>1000 m</t>
  </si>
  <si>
    <t>diameter</t>
  </si>
  <si>
    <t>inch</t>
  </si>
  <si>
    <t>This unit applies to diameter of pipelines and pipeline expansion costs</t>
  </si>
  <si>
    <t>concentration</t>
  </si>
  <si>
    <t>mg/liter</t>
  </si>
  <si>
    <t>Concentration unit defines water quality (e.g., TDS concentration)</t>
  </si>
  <si>
    <t>ppm</t>
  </si>
  <si>
    <t>currency</t>
  </si>
  <si>
    <t>USD</t>
  </si>
  <si>
    <t>Currency unit defines costs</t>
  </si>
  <si>
    <t>kUSD</t>
  </si>
  <si>
    <t>1000 USD</t>
  </si>
  <si>
    <t>time</t>
  </si>
  <si>
    <t>day</t>
  </si>
  <si>
    <t>Time units refers to input data relative to time (e.g., water flows in bbl/day)</t>
  </si>
  <si>
    <t>decision_period</t>
  </si>
  <si>
    <t>decision period</t>
  </si>
  <si>
    <t>week</t>
  </si>
  <si>
    <t>The decision period is the amount of time in a single decision period or discretization (e.g., T01 is 1 week)</t>
  </si>
  <si>
    <t>fortnight</t>
  </si>
  <si>
    <t>2 weeks</t>
  </si>
  <si>
    <t>month</t>
  </si>
  <si>
    <t>30.44 days</t>
  </si>
  <si>
    <t>foot</t>
  </si>
  <si>
    <t>cm</t>
  </si>
  <si>
    <t>kg/liter</t>
  </si>
  <si>
    <t>meter</t>
  </si>
  <si>
    <t>List of all Production Pad Identifiers [-]</t>
  </si>
  <si>
    <t>PP01</t>
  </si>
  <si>
    <t>PP02</t>
  </si>
  <si>
    <t>PP03</t>
  </si>
  <si>
    <t>PP04</t>
  </si>
  <si>
    <t>PP05</t>
  </si>
  <si>
    <t>PP06</t>
  </si>
  <si>
    <t>PP07</t>
  </si>
  <si>
    <t>PP08</t>
  </si>
  <si>
    <t>PP09</t>
  </si>
  <si>
    <t>PP10</t>
  </si>
  <si>
    <t>PP11</t>
  </si>
  <si>
    <t>PP12</t>
  </si>
  <si>
    <t>PP13</t>
  </si>
  <si>
    <t>PP14</t>
  </si>
  <si>
    <t>List of all Production Tank Identifiers [-]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</si>
  <si>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</si>
  <si>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</si>
  <si>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</si>
  <si>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</si>
  <si>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</si>
  <si>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</si>
  <si>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</si>
  <si>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</si>
  <si>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</si>
  <si>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</si>
  <si>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</si>
  <si>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</si>
  <si>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</si>
  <si>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</si>
  <si>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List of all Completion Pad Identifiers [-]</t>
  </si>
  <si>
    <t>CP01</t>
  </si>
  <si>
    <t>CP02</t>
  </si>
  <si>
    <t>CP03</t>
  </si>
  <si>
    <t>List of all SWD Sites [-]</t>
  </si>
  <si>
    <t>K01</t>
  </si>
  <si>
    <t>K02</t>
  </si>
  <si>
    <t>K03</t>
  </si>
  <si>
    <t>K04</t>
  </si>
  <si>
    <t>K05</t>
  </si>
  <si>
    <t>F01</t>
  </si>
  <si>
    <t>F02</t>
  </si>
  <si>
    <t>List of all Storage Site Identifiers [-] | Note: These correspond with Clean Brine Treatment Facilities</t>
  </si>
  <si>
    <t>S02</t>
  </si>
  <si>
    <t>S04</t>
  </si>
  <si>
    <t>S05</t>
  </si>
  <si>
    <t>List of all Treatment Site Identifiers [-]</t>
  </si>
  <si>
    <t>R02</t>
  </si>
  <si>
    <t>R03</t>
  </si>
  <si>
    <t>R04</t>
  </si>
  <si>
    <t>R05</t>
  </si>
  <si>
    <t>CB</t>
  </si>
  <si>
    <t>CB-EV</t>
  </si>
  <si>
    <t>List of all Reuse Option Identifiers [-]</t>
  </si>
  <si>
    <t>List of all Network Node Identifiers [-]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</si>
  <si>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</si>
  <si>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</si>
  <si>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</si>
  <si>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</si>
  <si>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</si>
  <si>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</si>
  <si>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</si>
  <si>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</si>
  <si>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</si>
  <si>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</si>
  <si>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</si>
  <si>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</si>
  <si>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</si>
  <si>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</si>
  <si>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</si>
  <si>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</si>
  <si>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</si>
  <si>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</si>
  <si>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</si>
  <si>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</si>
  <si>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</si>
  <si>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</si>
  <si>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</si>
  <si>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</si>
  <si>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</si>
  <si>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</si>
  <si>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</si>
  <si>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</si>
  <si>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List of all Pipeline Diameter Identifiers [-]</t>
  </si>
  <si>
    <t>D0</t>
  </si>
  <si>
    <t>D4</t>
  </si>
  <si>
    <t>D8</t>
  </si>
  <si>
    <t>List of all Storage Capacity Identifiers [-]</t>
  </si>
  <si>
    <t>C0</t>
  </si>
  <si>
    <t>C1</t>
  </si>
  <si>
    <t>List of all Treatment Capacity Identifiers [-]</t>
  </si>
  <si>
    <t>J0</t>
  </si>
  <si>
    <t>J1</t>
  </si>
  <si>
    <t>J2</t>
  </si>
  <si>
    <t>J3</t>
  </si>
  <si>
    <t>List of all Injection Capacity Identifiers [-]</t>
  </si>
  <si>
    <t>I0</t>
  </si>
  <si>
    <t>I1</t>
  </si>
  <si>
    <t>Production Pads to Network Nodes Piping Arcs [-]</t>
  </si>
  <si>
    <t>ProductionPads</t>
  </si>
  <si>
    <t>Completions Pads to Network Nodes Piping Arcs [-]</t>
  </si>
  <si>
    <t>CompletionsPads</t>
  </si>
  <si>
    <t>Completions Pads to Completions Pads Piping Arcs [-]</t>
  </si>
  <si>
    <t>Network Nodes to Network Nodes Piping Arcs [-]</t>
  </si>
  <si>
    <t>NetworkNodes</t>
  </si>
  <si>
    <t>Network Nodes to Completions Pads Piping Arcs [-]</t>
  </si>
  <si>
    <t>Network Nodes to Disposal Sites Piping Arcs [-]</t>
  </si>
  <si>
    <t>Network Nodes to Treatment Sites Piping Arcs [-]</t>
  </si>
  <si>
    <t>Network Nodes to Storage Sites Piping Arcs [-]</t>
  </si>
  <si>
    <t>Storage Sites to Network Nodes Piping Arcs [-]</t>
  </si>
  <si>
    <t>TreatmentSites</t>
  </si>
  <si>
    <t>Storage Sites to Completions Piping Arcs [-]</t>
  </si>
  <si>
    <t>StorageSites</t>
  </si>
  <si>
    <t>Production Pads to Completions Pads Trucking Arcs [-]</t>
  </si>
  <si>
    <t>Production Pads to Disposal Sites Trucking Arcs [-]</t>
  </si>
  <si>
    <t>Completions Pads to Disposal Sites Trucking Arcs [-]</t>
  </si>
  <si>
    <t>Completions Pads to Completions Pads Trucking Arcs [-]</t>
  </si>
  <si>
    <t>Completions Pads to Storage Sites Trucking Arcs [-]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</si>
  <si>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</si>
  <si>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</si>
  <si>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</si>
  <si>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</si>
  <si>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</si>
  <si>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</si>
  <si>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</si>
  <si>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</si>
  <si>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</si>
  <si>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</si>
  <si>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</si>
  <si>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</si>
  <si>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</si>
  <si>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</si>
  <si>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</si>
  <si>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</si>
  <si>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</si>
  <si>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</si>
  <si>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</si>
  <si>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</si>
  <si>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</si>
  <si>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</si>
  <si>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</si>
  <si>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</si>
  <si>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</si>
  <si>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</si>
  <si>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</si>
  <si>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</si>
  <si>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</si>
  <si>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</si>
  <si>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</si>
  <si>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</si>
  <si>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</si>
  <si>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</si>
  <si>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</si>
  <si>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</si>
  <si>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</si>
  <si>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</si>
  <si>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</si>
  <si>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</si>
  <si>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</si>
  <si>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</si>
  <si>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</si>
  <si>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</si>
  <si>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</si>
  <si>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</si>
  <si>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</si>
  <si>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</si>
  <si>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</si>
  <si>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</si>
  <si>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</si>
  <si>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</si>
  <si>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NODES</t>
  </si>
  <si>
    <t>SWDSites</t>
  </si>
  <si>
    <t>Table of Drive Times between Sites [hours]</t>
  </si>
  <si>
    <t>TreatmentTechnologies</t>
  </si>
  <si>
    <t>PipelineDiameters</t>
  </si>
  <si>
    <t>StorageCapacities</t>
  </si>
  <si>
    <t>TreatmentCapacities</t>
  </si>
  <si>
    <t>Table of Treatment Efficiency [%]</t>
  </si>
  <si>
    <t>TDS</t>
  </si>
  <si>
    <t>value</t>
  </si>
  <si>
    <t>pipeline_expansion_cost</t>
  </si>
  <si>
    <t/>
  </si>
  <si>
    <t>Hydraulic Settings</t>
  </si>
  <si>
    <t>roughness</t>
  </si>
  <si>
    <t>max_head_loss</t>
  </si>
  <si>
    <t>Economic Settings</t>
  </si>
  <si>
    <t>discount_rate</t>
  </si>
  <si>
    <t>CAPEX_lifetime</t>
  </si>
  <si>
    <t>Pads</t>
  </si>
  <si>
    <t xml:space="preserve">Multiplier </t>
  </si>
  <si>
    <t xml:space="preserve"> </t>
  </si>
  <si>
    <t>Table with Indication if the treatment site is for desalination technologies (1) or non-desalination technologies (0)</t>
  </si>
  <si>
    <t>Table with indication if the completions pad is outside of the system</t>
  </si>
  <si>
    <t>Table with indication if the treatment technology is for desalination</t>
  </si>
  <si>
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</si>
  <si>
    <t>pressure</t>
  </si>
  <si>
    <t>psi</t>
  </si>
  <si>
    <t>Pressure units when using the hydraulics module</t>
  </si>
  <si>
    <t>6895 Pa</t>
  </si>
  <si>
    <t>pascal</t>
  </si>
  <si>
    <t>elevation</t>
  </si>
  <si>
    <t>Elevation of a network node (including all sites)</t>
  </si>
  <si>
    <t>Elevation Data in ft</t>
  </si>
  <si>
    <t>Flow-pressure assumption</t>
  </si>
  <si>
    <t>150 psi for 15000 bbl/day and 15 psi for 1500 bbl/day</t>
  </si>
  <si>
    <t>Flow multiplier</t>
  </si>
  <si>
    <t>Table of Initial Pipeline Diameters between Sites [inch]</t>
  </si>
  <si>
    <t>min_allowable_pressure</t>
  </si>
  <si>
    <t>max_allowable_pressure</t>
  </si>
  <si>
    <t>Treatment Sites to Beneficial Reuse Piping Arcs (1 denotes an arc for the treated stream and 2 denotes an arc for the residual stream) [-]</t>
  </si>
  <si>
    <t>Storage Sites to Beneficial Reuse Piping Arcs [-]</t>
  </si>
  <si>
    <t>Network Nodes to Beneficial Reuse Piping Arcs [-]</t>
  </si>
  <si>
    <t>Treatment Sites to Beneficial Reuse Trucking Arcs (1 denotes an arc for the treated stream and 2 denotes an arc for the residual stream) [-]</t>
  </si>
  <si>
    <t>Storage Sites to Beneficial Reuse Trucking Arcs [-]</t>
  </si>
  <si>
    <t>Treatment Sites to Completions Sites Piping Arcs (1 denotes an arc for the treated stream and 2 denotes an arc for the residual stream) [-]</t>
  </si>
  <si>
    <t>Treatment Sites to Storage Sites Piping Arcs (1 denotes an arc for the treated stream and 2 denotes an arc for the residual stream) [-]</t>
  </si>
  <si>
    <t>Treatment Sites to Network Nodes Piping Arcs (1 denotes an arc for the treated stream and 2 denotes an arc for the residual stream) [-]</t>
  </si>
  <si>
    <t>Treatment Sites to Storage Sites Trucking Arcs (1 denotes an arc for the treated stream and 2 denotes an arc for the residual stream) [-]</t>
  </si>
  <si>
    <t>pipeline_expansion_lead_time</t>
  </si>
  <si>
    <t>Treatment Sites to Disposal Piping Arcs (1 denotes an arc for the treated stream and 2 denotes an arc for the residual stream) [-]</t>
  </si>
  <si>
    <t>Treatment Sites to Disposal Trucking Arcs (1 denotes an arc for the treated stream and 2 denotes an arc for the residual stream) [-]</t>
  </si>
  <si>
    <t>SWDs - shallow (0) or deep (1)</t>
  </si>
  <si>
    <t>Average pressure/depth in vicinity of well [psi/ft]</t>
  </si>
  <si>
    <t>Table of SWD proximity to P&amp;A'd well [miles]</t>
  </si>
  <si>
    <t>Table of SWD proximity to inactive/temporarily abandoned formerly producing well (completed prior to 2000) [miles]</t>
  </si>
  <si>
    <t>Table of SWD proximity to earthquakes &gt;= 3.0 magnitude [miles]</t>
  </si>
  <si>
    <t>Table of SWD proximity to fault [miles]</t>
  </si>
  <si>
    <t>Table of SWD proximity to high pressure or low pressure injection well [miles]</t>
  </si>
  <si>
    <t>SWD risk factors</t>
  </si>
  <si>
    <t>orphan_well_distance_risk_factor</t>
  </si>
  <si>
    <t>orphan_well_severity_risk_factor</t>
  </si>
  <si>
    <t>inactive_well_distance_risk_factor</t>
  </si>
  <si>
    <t>inactive_well_severity_risk_factor</t>
  </si>
  <si>
    <t>EQ_distance_risk_factor</t>
  </si>
  <si>
    <t>EQ_severity_risk_factor</t>
  </si>
  <si>
    <t>fault_distance_risk_factor</t>
  </si>
  <si>
    <t>fault_severity_risk_factor</t>
  </si>
  <si>
    <t>HP_LP_distance_risk_factor</t>
  </si>
  <si>
    <t>HP_LP_severity_risk_factor</t>
  </si>
  <si>
    <t>HP_threshold</t>
  </si>
  <si>
    <t>psi/ft</t>
  </si>
  <si>
    <t>LP_threshold</t>
  </si>
  <si>
    <t>List of all Water Quality Components [-]</t>
  </si>
  <si>
    <t>Cost for sourcing external water for frac</t>
  </si>
  <si>
    <t>External Water Costs</t>
  </si>
  <si>
    <t>List of all External Water Source Identifiers [-]</t>
  </si>
  <si>
    <t>External Water Sources to Completions Pads Piping Arcs [-]</t>
  </si>
  <si>
    <t>ExternalWaterSources</t>
  </si>
  <si>
    <t>External Water Sources to Completions Pads Trucking Arcs [-]</t>
  </si>
  <si>
    <t>mass</t>
  </si>
  <si>
    <t>g</t>
  </si>
  <si>
    <t>Mass units is used for measuring emissions coefficients (e.g. 10g per treated produced water bbl).</t>
  </si>
  <si>
    <t>kg</t>
  </si>
  <si>
    <t>1000g</t>
  </si>
  <si>
    <t>List of all Air Emissions Components [-]</t>
  </si>
  <si>
    <t>CO2</t>
  </si>
  <si>
    <t>NH3</t>
  </si>
  <si>
    <t>NOx</t>
  </si>
  <si>
    <t>SO2</t>
  </si>
  <si>
    <t>PM 2.5</t>
  </si>
  <si>
    <t>MVC</t>
  </si>
  <si>
    <t>MD</t>
  </si>
  <si>
    <t>OARO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</si>
</sst>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0" xfId="0" applyFont="1" applyFill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4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6" fillId="3" borderId="0" xfId="1" applyFill="1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7" fillId="0" borderId="0" xfId="0" applyFont="1"/>
    <xf numFmtId="0" fontId="3" fillId="3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1" applyFill="1" applyBorder="1"/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0" borderId="0" xfId="0" applyNumberFormat="1" applyFont="1"/>
    <xf numFmtId="43" fontId="1" fillId="0" borderId="0" xfId="2" applyFont="1"/>
    <xf numFmtId="3" fontId="3" fillId="3" borderId="18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3" fontId="3" fillId="3" borderId="19" xfId="0" applyNumberFormat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43" fontId="1" fillId="3" borderId="14" xfId="2" applyFont="1" applyFill="1" applyBorder="1" applyAlignment="1">
      <alignment horizontal="center"/>
    </xf>
    <xf numFmtId="43" fontId="1" fillId="3" borderId="22" xfId="2" applyFont="1" applyFill="1" applyBorder="1" applyAlignment="1">
      <alignment horizontal="center"/>
    </xf>
    <xf numFmtId="43" fontId="1" fillId="3" borderId="17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8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4" borderId="25" xfId="0" applyFont="1" applyFill="1" applyBorder="1"/>
    <xf numFmtId="0" fontId="1" fillId="4" borderId="28" xfId="0" applyFont="1" applyFill="1" applyBorder="1"/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quotePrefix="1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0" fontId="3" fillId="4" borderId="30" xfId="0" applyFont="1" applyFill="1" applyBorder="1" applyAlignment="1">
      <alignment horizontal="left"/>
    </xf>
    <xf numFmtId="9" fontId="1" fillId="0" borderId="0" xfId="3" applyFont="1"/>
    <xf numFmtId="9" fontId="1" fillId="0" borderId="0" xfId="3" applyFont="1" applyAlignment="1">
      <alignment horizontal="center"/>
    </xf>
    <xf numFmtId="0" fontId="3" fillId="3" borderId="33" xfId="0" applyFont="1" applyFill="1" applyBorder="1" applyAlignment="1">
      <alignment horizontal="center"/>
    </xf>
    <xf numFmtId="3" fontId="1" fillId="3" borderId="34" xfId="0" applyNumberFormat="1" applyFont="1" applyFill="1" applyBorder="1" applyAlignment="1">
      <alignment horizontal="center"/>
    </xf>
    <xf numFmtId="3" fontId="1" fillId="3" borderId="25" xfId="0" applyNumberFormat="1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6" fontId="1" fillId="0" borderId="0" xfId="2" applyNumberFormat="1" applyFont="1"/>
    <xf numFmtId="166" fontId="1" fillId="0" borderId="0" xfId="2" applyNumberFormat="1" applyFont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65" fontId="1" fillId="3" borderId="25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3" borderId="33" xfId="0" applyFont="1" applyFill="1" applyBorder="1"/>
    <xf numFmtId="0" fontId="3" fillId="3" borderId="29" xfId="0" applyFont="1" applyFill="1" applyBorder="1" applyAlignment="1">
      <alignment horizontal="center"/>
    </xf>
    <xf numFmtId="3" fontId="1" fillId="3" borderId="27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4" xfId="0" applyFont="1" applyFill="1" applyBorder="1"/>
    <xf numFmtId="0" fontId="1" fillId="2" borderId="1" xfId="0" applyFont="1" applyFill="1" applyBorder="1"/>
    <xf numFmtId="0" fontId="3" fillId="2" borderId="42" xfId="0" applyFont="1" applyFill="1" applyBorder="1"/>
    <xf numFmtId="0" fontId="3" fillId="2" borderId="5" xfId="0" applyFont="1" applyFill="1" applyBorder="1"/>
    <xf numFmtId="0" fontId="1" fillId="2" borderId="3" xfId="0" applyFont="1" applyFill="1" applyBorder="1"/>
    <xf numFmtId="0" fontId="3" fillId="2" borderId="33" xfId="0" applyFont="1" applyFill="1" applyBorder="1"/>
    <xf numFmtId="0" fontId="1" fillId="2" borderId="34" xfId="0" applyFont="1" applyFill="1" applyBorder="1"/>
    <xf numFmtId="165" fontId="1" fillId="3" borderId="0" xfId="0" applyNumberFormat="1" applyFont="1" applyFill="1" applyAlignment="1">
      <alignment horizontal="center"/>
    </xf>
    <xf numFmtId="43" fontId="1" fillId="3" borderId="43" xfId="2" applyFont="1" applyFill="1" applyBorder="1" applyAlignment="1">
      <alignment horizontal="center"/>
    </xf>
    <xf numFmtId="3" fontId="1" fillId="3" borderId="2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3" fillId="3" borderId="6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3" borderId="14" xfId="2" applyNumberFormat="1" applyFont="1" applyFill="1" applyBorder="1" applyAlignment="1">
      <alignment horizontal="center"/>
    </xf>
    <xf numFmtId="0" fontId="1" fillId="3" borderId="17" xfId="2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4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43" fontId="11" fillId="3" borderId="22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43" fontId="11" fillId="3" borderId="17" xfId="2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3" xfId="4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3" fontId="1" fillId="3" borderId="36" xfId="0" applyNumberFormat="1" applyFont="1" applyFill="1" applyBorder="1" applyAlignment="1">
      <alignment horizontal="center"/>
    </xf>
  </cellXfs>
  <cellStyles count="5">
    <cellStyle name="Comma" xfId="2" builtinId="3"/>
    <cellStyle name="Good" xfId="4" builtinId="26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AFF3DE"/>
      <color rgb="FFF5ADAD"/>
      <color rgb="FFD9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Production Rate Forecasts by Pads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PadRates!$A$3</c:f>
              <c:strCache>
                <c:ptCount val="1"/>
                <c:pt idx="0">
                  <c:v>PP01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PadRates!$B$3:$BA$3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3-4675-BDD0-20A1692F155A}"/>
            </c:ext>
          </c:extLst>
        </c:ser>
        <c:ser>
          <c:idx val="1"/>
          <c:order val="1"/>
          <c:tx>
            <c:strRef>
              <c:f>PadRates!$A$4</c:f>
              <c:strCache>
                <c:ptCount val="1"/>
                <c:pt idx="0">
                  <c:v>PP02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PadRates!$B$4:$BA$4</c:f>
              <c:numCache>
                <c:formatCode>#,##0</c:formatCode>
                <c:ptCount val="52"/>
                <c:pt idx="0">
                  <c:v>13000</c:v>
                </c:pt>
                <c:pt idx="1">
                  <c:v>10199.593272657759</c:v>
                </c:pt>
                <c:pt idx="2">
                  <c:v>8850.1557384298558</c:v>
                </c:pt>
                <c:pt idx="3">
                  <c:v>8002.4386867419562</c:v>
                </c:pt>
                <c:pt idx="4">
                  <c:v>7401.2291525269902</c:v>
                </c:pt>
                <c:pt idx="5">
                  <c:v>6943.6914562817392</c:v>
                </c:pt>
                <c:pt idx="6">
                  <c:v>6578.9871524644777</c:v>
                </c:pt>
                <c:pt idx="7">
                  <c:v>6278.5861380114975</c:v>
                </c:pt>
                <c:pt idx="8">
                  <c:v>6025.0197380356067</c:v>
                </c:pt>
                <c:pt idx="9">
                  <c:v>5806.8866979625209</c:v>
                </c:pt>
                <c:pt idx="10">
                  <c:v>5616.3726073325097</c:v>
                </c:pt>
                <c:pt idx="11">
                  <c:v>5447.9098973001837</c:v>
                </c:pt>
                <c:pt idx="12">
                  <c:v>5297.4050229787554</c:v>
                </c:pt>
                <c:pt idx="13">
                  <c:v>5161.7687000906553</c:v>
                </c:pt>
                <c:pt idx="14">
                  <c:v>5038.6177427439279</c:v>
                </c:pt>
                <c:pt idx="15">
                  <c:v>4926.0788411587946</c:v>
                </c:pt>
                <c:pt idx="16">
                  <c:v>4822.655389453148</c:v>
                </c:pt>
                <c:pt idx="17">
                  <c:v>4727.1346759767848</c:v>
                </c:pt>
                <c:pt idx="18">
                  <c:v>4638.5216926550756</c:v>
                </c:pt>
                <c:pt idx="19">
                  <c:v>4555.9909615095667</c:v>
                </c:pt>
                <c:pt idx="20">
                  <c:v>4478.8508384953684</c:v>
                </c:pt>
                <c:pt idx="21">
                  <c:v>4406.5166355759993</c:v>
                </c:pt>
                <c:pt idx="22">
                  <c:v>4338.4900892934511</c:v>
                </c:pt>
                <c:pt idx="23">
                  <c:v>4274.3434721960448</c:v>
                </c:pt>
                <c:pt idx="24">
                  <c:v>4213.7071514011832</c:v>
                </c:pt>
                <c:pt idx="25">
                  <c:v>4156.2597411475017</c:v>
                </c:pt>
                <c:pt idx="26">
                  <c:v>4101.7202314406904</c:v>
                </c:pt>
                <c:pt idx="27">
                  <c:v>4049.8416391123101</c:v>
                </c:pt>
                <c:pt idx="28">
                  <c:v>4000.4058439727946</c:v>
                </c:pt>
                <c:pt idx="29">
                  <c:v>3953.2193563373075</c:v>
                </c:pt>
                <c:pt idx="30">
                  <c:v>3908.1098230304679</c:v>
                </c:pt>
                <c:pt idx="31">
                  <c:v>3864.9231237588433</c:v>
                </c:pt>
                <c:pt idx="32">
                  <c:v>3823.52094307262</c:v>
                </c:pt>
                <c:pt idx="33">
                  <c:v>3783.7787282010004</c:v>
                </c:pt>
                <c:pt idx="34">
                  <c:v>3745.5839620708166</c:v>
                </c:pt>
                <c:pt idx="35">
                  <c:v>3708.8346953876949</c:v>
                </c:pt>
                <c:pt idx="36">
                  <c:v>3673.4382929104909</c:v>
                </c:pt>
                <c:pt idx="37">
                  <c:v>3639.3103578062914</c:v>
                </c:pt>
                <c:pt idx="38">
                  <c:v>3606.3738048386595</c:v>
                </c:pt>
                <c:pt idx="39">
                  <c:v>3574.5580585617336</c:v>
                </c:pt>
                <c:pt idx="40">
                  <c:v>3543.7983569997164</c:v>
                </c:pt>
                <c:pt idx="41">
                  <c:v>3514.035144734994</c:v>
                </c:pt>
                <c:pt idx="42">
                  <c:v>3485.2135420978043</c:v>
                </c:pt>
                <c:pt idx="43">
                  <c:v>3457.28287939042</c:v>
                </c:pt>
                <c:pt idx="44">
                  <c:v>3430.1962868999744</c:v>
                </c:pt>
                <c:pt idx="45">
                  <c:v>3403.9103329422956</c:v>
                </c:pt>
                <c:pt idx="46">
                  <c:v>3378.3847034009873</c:v>
                </c:pt>
                <c:pt idx="47">
                  <c:v>3353.5819172337992</c:v>
                </c:pt>
                <c:pt idx="48">
                  <c:v>3329.4670732532813</c:v>
                </c:pt>
                <c:pt idx="49">
                  <c:v>3306.0076241831839</c:v>
                </c:pt>
                <c:pt idx="50">
                  <c:v>3283.1731745721877</c:v>
                </c:pt>
                <c:pt idx="51">
                  <c:v>3260.9352996327957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3-4675-BDD0-20A1692F155A}"/>
            </c:ext>
          </c:extLst>
        </c:ser>
        <c:ser>
          <c:idx val="2"/>
          <c:order val="2"/>
          <c:tx>
            <c:strRef>
              <c:f>PadRates!$A$5</c:f>
              <c:strCache>
                <c:ptCount val="1"/>
                <c:pt idx="0">
                  <c:v>PP03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PadRates!$B$5:$BA$5</c:f>
              <c:numCache>
                <c:formatCode>#,##0</c:formatCode>
                <c:ptCount val="52"/>
                <c:pt idx="0">
                  <c:v>8000</c:v>
                </c:pt>
                <c:pt idx="1">
                  <c:v>6727.171322029717</c:v>
                </c:pt>
                <c:pt idx="2">
                  <c:v>6078.6854852127399</c:v>
                </c:pt>
                <c:pt idx="3">
                  <c:v>5656.8542494923804</c:v>
                </c:pt>
                <c:pt idx="4">
                  <c:v>5349.9224398113756</c:v>
                </c:pt>
                <c:pt idx="5">
                  <c:v>5111.5448339701798</c:v>
                </c:pt>
                <c:pt idx="6">
                  <c:v>4918.3052236101157</c:v>
                </c:pt>
                <c:pt idx="7">
                  <c:v>4756.8284600108846</c:v>
                </c:pt>
                <c:pt idx="8">
                  <c:v>4618.8021535170055</c:v>
                </c:pt>
                <c:pt idx="9">
                  <c:v>4498.7306015227923</c:v>
                </c:pt>
                <c:pt idx="10">
                  <c:v>4392.8038942088997</c:v>
                </c:pt>
                <c:pt idx="11">
                  <c:v>4298.279727294168</c:v>
                </c:pt>
                <c:pt idx="12">
                  <c:v>4213.1231027834128</c:v>
                </c:pt>
                <c:pt idx="13">
                  <c:v>4135.7852316573644</c:v>
                </c:pt>
                <c:pt idx="14">
                  <c:v>4065.0619852369177</c:v>
                </c:pt>
                <c:pt idx="15">
                  <c:v>4000</c:v>
                </c:pt>
                <c:pt idx="16">
                  <c:v>3939.8324840436189</c:v>
                </c:pt>
                <c:pt idx="17">
                  <c:v>3883.9341736585875</c:v>
                </c:pt>
                <c:pt idx="18">
                  <c:v>3831.7890035485975</c:v>
                </c:pt>
                <c:pt idx="19">
                  <c:v>3782.9664360127035</c:v>
                </c:pt>
                <c:pt idx="20">
                  <c:v>3737.1038218256008</c:v>
                </c:pt>
                <c:pt idx="21">
                  <c:v>3693.8930475528209</c:v>
                </c:pt>
                <c:pt idx="22">
                  <c:v>3653.0702839738501</c:v>
                </c:pt>
                <c:pt idx="23">
                  <c:v>3614.4080144393793</c:v>
                </c:pt>
                <c:pt idx="24">
                  <c:v>3577.7087639996635</c:v>
                </c:pt>
                <c:pt idx="25">
                  <c:v>3542.800114153179</c:v>
                </c:pt>
                <c:pt idx="26">
                  <c:v>3509.5307012066469</c:v>
                </c:pt>
                <c:pt idx="27">
                  <c:v>3477.7669755599313</c:v>
                </c:pt>
                <c:pt idx="28">
                  <c:v>3447.390555671248</c:v>
                </c:pt>
                <c:pt idx="29">
                  <c:v>3418.2960511698725</c:v>
                </c:pt>
                <c:pt idx="30">
                  <c:v>3390.3892593201731</c:v>
                </c:pt>
                <c:pt idx="31">
                  <c:v>3363.5856610148585</c:v>
                </c:pt>
                <c:pt idx="32">
                  <c:v>3337.8091588892048</c:v>
                </c:pt>
                <c:pt idx="33">
                  <c:v>3312.9910125324163</c:v>
                </c:pt>
                <c:pt idx="34">
                  <c:v>3289.0689352041582</c:v>
                </c:pt>
                <c:pt idx="35">
                  <c:v>3265.9863237109048</c:v>
                </c:pt>
                <c:pt idx="36">
                  <c:v>3243.6915987101593</c:v>
                </c:pt>
                <c:pt idx="37">
                  <c:v>3222.1376370926187</c:v>
                </c:pt>
                <c:pt idx="38">
                  <c:v>3201.2812815379993</c:v>
                </c:pt>
                <c:pt idx="39">
                  <c:v>3181.0829150682025</c:v>
                </c:pt>
                <c:pt idx="40">
                  <c:v>3161.5060905952382</c:v>
                </c:pt>
                <c:pt idx="41">
                  <c:v>3142.5172072041037</c:v>
                </c:pt>
                <c:pt idx="42">
                  <c:v>3124.0852263161291</c:v>
                </c:pt>
                <c:pt idx="43">
                  <c:v>3106.1814220177857</c:v>
                </c:pt>
                <c:pt idx="44">
                  <c:v>3088.7791607687177</c:v>
                </c:pt>
                <c:pt idx="45">
                  <c:v>3071.8537064634797</c:v>
                </c:pt>
                <c:pt idx="46">
                  <c:v>3055.382047447627</c:v>
                </c:pt>
                <c:pt idx="47">
                  <c:v>3039.3427426063699</c:v>
                </c:pt>
                <c:pt idx="48">
                  <c:v>3023.7157840738182</c:v>
                </c:pt>
                <c:pt idx="49">
                  <c:v>3008.482474469115</c:v>
                </c:pt>
                <c:pt idx="50">
                  <c:v>2993.6253168656999</c:v>
                </c:pt>
                <c:pt idx="51">
                  <c:v>2979.1279159518585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3-4675-BDD0-20A1692F155A}"/>
            </c:ext>
          </c:extLst>
        </c:ser>
        <c:ser>
          <c:idx val="3"/>
          <c:order val="3"/>
          <c:tx>
            <c:strRef>
              <c:f>PadRates!$A$6</c:f>
              <c:strCache>
                <c:ptCount val="1"/>
                <c:pt idx="0">
                  <c:v>PP04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PadRates!$B$6:$BA$6</c:f>
              <c:numCache>
                <c:formatCode>#,##0</c:formatCode>
                <c:ptCount val="52"/>
                <c:pt idx="0">
                  <c:v>2000</c:v>
                </c:pt>
                <c:pt idx="1">
                  <c:v>1972.4654089867183</c:v>
                </c:pt>
                <c:pt idx="2">
                  <c:v>1956.534771458342</c:v>
                </c:pt>
                <c:pt idx="3">
                  <c:v>1945.3098948245711</c:v>
                </c:pt>
                <c:pt idx="4">
                  <c:v>1936.6475714512596</c:v>
                </c:pt>
                <c:pt idx="5">
                  <c:v>1929.598579090657</c:v>
                </c:pt>
                <c:pt idx="6">
                  <c:v>1923.6587614095988</c:v>
                </c:pt>
                <c:pt idx="7">
                  <c:v>1918.5282386505287</c:v>
                </c:pt>
                <c:pt idx="8">
                  <c:v>1914.0141559627739</c:v>
                </c:pt>
                <c:pt idx="9">
                  <c:v>1909.9851720428717</c:v>
                </c:pt>
                <c:pt idx="10">
                  <c:v>1906.3478193082774</c:v>
                </c:pt>
                <c:pt idx="11">
                  <c:v>1903.0332252431219</c:v>
                </c:pt>
                <c:pt idx="12">
                  <c:v>1899.9891837835946</c:v>
                </c:pt>
                <c:pt idx="13">
                  <c:v>1897.1751827873345</c:v>
                </c:pt>
                <c:pt idx="14">
                  <c:v>1894.5591568023724</c:v>
                </c:pt>
                <c:pt idx="15">
                  <c:v>1892.115293451192</c:v>
                </c:pt>
                <c:pt idx="16">
                  <c:v>1889.8225082424747</c:v>
                </c:pt>
                <c:pt idx="17">
                  <c:v>1887.6633574737407</c:v>
                </c:pt>
                <c:pt idx="18">
                  <c:v>1885.6232464552254</c:v>
                </c:pt>
                <c:pt idx="19">
                  <c:v>1883.6898417660555</c:v>
                </c:pt>
                <c:pt idx="20">
                  <c:v>1881.8526275591835</c:v>
                </c:pt>
                <c:pt idx="21">
                  <c:v>1880.1025655414201</c:v>
                </c:pt>
                <c:pt idx="22">
                  <c:v>1878.4318308654294</c:v>
                </c:pt>
                <c:pt idx="23">
                  <c:v>1876.8336044722441</c:v>
                </c:pt>
                <c:pt idx="24">
                  <c:v>1875.301908004031</c:v>
                </c:pt>
                <c:pt idx="25">
                  <c:v>1873.8314712310246</c:v>
                </c:pt>
                <c:pt idx="26">
                  <c:v>1872.4176246023287</c:v>
                </c:pt>
                <c:pt idx="27">
                  <c:v>1871.0562114180359</c:v>
                </c:pt>
                <c:pt idx="28">
                  <c:v>1869.7435154762538</c:v>
                </c:pt>
                <c:pt idx="29">
                  <c:v>1868.4762010358615</c:v>
                </c:pt>
                <c:pt idx="30">
                  <c:v>1867.2512626632654</c:v>
                </c:pt>
                <c:pt idx="31">
                  <c:v>1866.0659830736149</c:v>
                </c:pt>
                <c:pt idx="32">
                  <c:v>1864.917897485215</c:v>
                </c:pt>
                <c:pt idx="33">
                  <c:v>1863.8047633163992</c:v>
                </c:pt>
                <c:pt idx="34">
                  <c:v>1862.7245342924191</c:v>
                </c:pt>
                <c:pt idx="35">
                  <c:v>1861.675338214342</c:v>
                </c:pt>
                <c:pt idx="36">
                  <c:v>1860.6554577858703</c:v>
                </c:pt>
                <c:pt idx="37">
                  <c:v>1859.6633140070851</c:v>
                </c:pt>
                <c:pt idx="38">
                  <c:v>1858.6974517336789</c:v>
                </c:pt>
                <c:pt idx="39">
                  <c:v>1857.7565270716048</c:v>
                </c:pt>
                <c:pt idx="40">
                  <c:v>1856.8392963342751</c:v>
                </c:pt>
                <c:pt idx="41">
                  <c:v>1855.9446063356277</c:v>
                </c:pt>
                <c:pt idx="42">
                  <c:v>1855.0713858298161</c:v>
                </c:pt>
                <c:pt idx="43">
                  <c:v>1854.2186379388179</c:v>
                </c:pt>
                <c:pt idx="44">
                  <c:v>1853.3854334343193</c:v>
                </c:pt>
                <c:pt idx="45">
                  <c:v>1852.570904760825</c:v>
                </c:pt>
                <c:pt idx="46">
                  <c:v>1851.7742407040305</c:v>
                </c:pt>
                <c:pt idx="47">
                  <c:v>1850.9946816226807</c:v>
                </c:pt>
                <c:pt idx="48">
                  <c:v>1850.231515173956</c:v>
                </c:pt>
                <c:pt idx="49">
                  <c:v>1849.484072472372</c:v>
                </c:pt>
                <c:pt idx="50">
                  <c:v>1848.751724630511</c:v>
                </c:pt>
                <c:pt idx="51">
                  <c:v>1848.0338796369435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3-4675-BDD0-20A1692F155A}"/>
            </c:ext>
          </c:extLst>
        </c:ser>
        <c:ser>
          <c:idx val="4"/>
          <c:order val="4"/>
          <c:tx>
            <c:strRef>
              <c:f>PadRates!$A$7</c:f>
              <c:strCache>
                <c:ptCount val="1"/>
                <c:pt idx="0">
                  <c:v>PP05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PadRates!$B$7:$BA$7</c:f>
              <c:numCache>
                <c:formatCode>#,##0</c:formatCode>
                <c:ptCount val="52"/>
                <c:pt idx="0">
                  <c:v>1500</c:v>
                </c:pt>
                <c:pt idx="1">
                  <c:v>1489.6387431555538</c:v>
                </c:pt>
                <c:pt idx="2">
                  <c:v>1483.6110062582561</c:v>
                </c:pt>
                <c:pt idx="3">
                  <c:v>1479.3490567400388</c:v>
                </c:pt>
                <c:pt idx="4">
                  <c:v>1476.0516650451866</c:v>
                </c:pt>
                <c:pt idx="5">
                  <c:v>1473.3629564628634</c:v>
                </c:pt>
                <c:pt idx="6">
                  <c:v>1471.0935070843725</c:v>
                </c:pt>
                <c:pt idx="7">
                  <c:v>1469.1304463803901</c:v>
                </c:pt>
                <c:pt idx="8">
                  <c:v>1467.4010785937567</c:v>
                </c:pt>
                <c:pt idx="9">
                  <c:v>1465.855831433716</c:v>
                </c:pt>
                <c:pt idx="10">
                  <c:v>1464.4593871875766</c:v>
                </c:pt>
                <c:pt idx="11">
                  <c:v>1463.185695118194</c:v>
                </c:pt>
                <c:pt idx="12">
                  <c:v>1462.014990263966</c:v>
                </c:pt>
                <c:pt idx="13">
                  <c:v>1460.9319219716406</c:v>
                </c:pt>
                <c:pt idx="14">
                  <c:v>1459.9243307112424</c:v>
                </c:pt>
                <c:pt idx="15">
                  <c:v>1458.9824211184282</c:v>
                </c:pt>
                <c:pt idx="16">
                  <c:v>1458.0981866022551</c:v>
                </c:pt>
                <c:pt idx="17">
                  <c:v>1457.264998947672</c:v>
                </c:pt>
                <c:pt idx="18">
                  <c:v>1456.47730921636</c:v>
                </c:pt>
                <c:pt idx="19">
                  <c:v>1455.7304255894398</c:v>
                </c:pt>
                <c:pt idx="20">
                  <c:v>1455.0203455636217</c:v>
                </c:pt>
                <c:pt idx="21">
                  <c:v>1454.3436272883025</c:v>
                </c:pt>
                <c:pt idx="22">
                  <c:v>1453.6972895770316</c:v>
                </c:pt>
                <c:pt idx="23">
                  <c:v>1453.0787332527013</c:v>
                </c:pt>
                <c:pt idx="24">
                  <c:v>1452.4856785884447</c:v>
                </c:pt>
                <c:pt idx="25">
                  <c:v>1451.9161150475954</c:v>
                </c:pt>
                <c:pt idx="26">
                  <c:v>1451.368260531289</c:v>
                </c:pt>
                <c:pt idx="27">
                  <c:v>1450.8405280544412</c:v>
                </c:pt>
                <c:pt idx="28">
                  <c:v>1450.3314982826462</c:v>
                </c:pt>
                <c:pt idx="29">
                  <c:v>1449.8398967352721</c:v>
                </c:pt>
                <c:pt idx="30">
                  <c:v>1449.3645747347953</c:v>
                </c:pt>
                <c:pt idx="31">
                  <c:v>1448.9044933872683</c:v>
                </c:pt>
                <c:pt idx="32">
                  <c:v>1448.4587100331396</c:v>
                </c:pt>
                <c:pt idx="33">
                  <c:v>1448.0263667250501</c:v>
                </c:pt>
                <c:pt idx="34">
                  <c:v>1447.6066803793672</c:v>
                </c:pt>
                <c:pt idx="35">
                  <c:v>1447.1989343179928</c:v>
                </c:pt>
                <c:pt idx="36">
                  <c:v>1446.8024709714539</c:v>
                </c:pt>
                <c:pt idx="37">
                  <c:v>1446.4166855570945</c:v>
                </c:pt>
                <c:pt idx="38">
                  <c:v>1446.0410205801179</c:v>
                </c:pt>
                <c:pt idx="39">
                  <c:v>1445.6749610322354</c:v>
                </c:pt>
                <c:pt idx="40">
                  <c:v>1445.3180301843809</c:v>
                </c:pt>
                <c:pt idx="41">
                  <c:v>1444.9697858874356</c:v>
                </c:pt>
                <c:pt idx="42">
                  <c:v>1444.6298173091068</c:v>
                </c:pt>
                <c:pt idx="43">
                  <c:v>1444.2977420466909</c:v>
                </c:pt>
                <c:pt idx="44">
                  <c:v>1443.9732035649447</c:v>
                </c:pt>
                <c:pt idx="45">
                  <c:v>1443.6558689161097</c:v>
                </c:pt>
                <c:pt idx="46">
                  <c:v>1443.345426705622</c:v>
                </c:pt>
                <c:pt idx="47">
                  <c:v>1443.0415852724118</c:v>
                </c:pt>
                <c:pt idx="48">
                  <c:v>1442.7440710571991</c:v>
                </c:pt>
                <c:pt idx="49">
                  <c:v>1442.4526271359553</c:v>
                </c:pt>
                <c:pt idx="50">
                  <c:v>1442.1670118988732</c:v>
                </c:pt>
                <c:pt idx="51">
                  <c:v>1441.8869978578632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3-4675-BDD0-20A1692F155A}"/>
            </c:ext>
          </c:extLst>
        </c:ser>
        <c:ser>
          <c:idx val="5"/>
          <c:order val="5"/>
          <c:tx>
            <c:strRef>
              <c:f>PadRates!$A$8</c:f>
              <c:strCache>
                <c:ptCount val="1"/>
                <c:pt idx="0">
                  <c:v>PP06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PadRates!$B$8:$BA$8</c:f>
              <c:numCache>
                <c:formatCode>#,##0</c:formatCode>
                <c:ptCount val="52"/>
                <c:pt idx="0">
                  <c:v>7000</c:v>
                </c:pt>
                <c:pt idx="1">
                  <c:v>6221.898768165991</c:v>
                </c:pt>
                <c:pt idx="2">
                  <c:v>5807.4760401588037</c:v>
                </c:pt>
                <c:pt idx="3">
                  <c:v>5530.2891830436402</c:v>
                </c:pt>
                <c:pt idx="4">
                  <c:v>5324.4302147288327</c:v>
                </c:pt>
                <c:pt idx="5">
                  <c:v>5161.9325743453664</c:v>
                </c:pt>
                <c:pt idx="6">
                  <c:v>5028.4180100381773</c:v>
                </c:pt>
                <c:pt idx="7">
                  <c:v>4915.5570650829904</c:v>
                </c:pt>
                <c:pt idx="8">
                  <c:v>4818.1111367169406</c:v>
                </c:pt>
                <c:pt idx="9">
                  <c:v>4732.5808277438728</c:v>
                </c:pt>
                <c:pt idx="10">
                  <c:v>4656.5179727278037</c:v>
                </c:pt>
                <c:pt idx="11">
                  <c:v>4588.1459893821911</c:v>
                </c:pt>
                <c:pt idx="12">
                  <c:v>4526.1367373932235</c:v>
                </c:pt>
                <c:pt idx="13">
                  <c:v>4469.4725460686032</c:v>
                </c:pt>
                <c:pt idx="14">
                  <c:v>4417.3572713621843</c:v>
                </c:pt>
                <c:pt idx="15">
                  <c:v>4369.1569211556416</c:v>
                </c:pt>
                <c:pt idx="16">
                  <c:v>4324.3588238182838</c:v>
                </c:pt>
                <c:pt idx="17">
                  <c:v>4282.5428209179963</c:v>
                </c:pt>
                <c:pt idx="18">
                  <c:v>4243.3604852194348</c:v>
                </c:pt>
                <c:pt idx="19">
                  <c:v>4206.5198317693694</c:v>
                </c:pt>
                <c:pt idx="20">
                  <c:v>4171.7738733142469</c:v>
                </c:pt>
                <c:pt idx="21">
                  <c:v>4138.9119197797027</c:v>
                </c:pt>
                <c:pt idx="22">
                  <c:v>4107.7528713082074</c:v>
                </c:pt>
                <c:pt idx="23">
                  <c:v>4078.1399827861128</c:v>
                </c:pt>
                <c:pt idx="24">
                  <c:v>4049.9367302167598</c:v>
                </c:pt>
                <c:pt idx="25">
                  <c:v>4023.0235129911052</c:v>
                </c:pt>
                <c:pt idx="26">
                  <c:v>3997.2949979008467</c:v>
                </c:pt>
                <c:pt idx="27">
                  <c:v>3972.6579612479945</c:v>
                </c:pt>
                <c:pt idx="28">
                  <c:v>3949.0295214644389</c:v>
                </c:pt>
                <c:pt idx="29">
                  <c:v>3926.3356807482082</c:v>
                </c:pt>
                <c:pt idx="30">
                  <c:v>3904.5101133406311</c:v>
                </c:pt>
                <c:pt idx="31">
                  <c:v>3883.4931522374568</c:v>
                </c:pt>
                <c:pt idx="32">
                  <c:v>3863.2309367407947</c:v>
                </c:pt>
                <c:pt idx="33">
                  <c:v>3843.6746912889594</c:v>
                </c:pt>
                <c:pt idx="34">
                  <c:v>3824.7801121334146</c:v>
                </c:pt>
                <c:pt idx="35">
                  <c:v>3806.5068431553982</c:v>
                </c:pt>
                <c:pt idx="36">
                  <c:v>3788.8180257828722</c:v>
                </c:pt>
                <c:pt idx="37">
                  <c:v>3771.6799108387199</c:v>
                </c:pt>
                <c:pt idx="38">
                  <c:v>3755.0615224133835</c:v>
                </c:pt>
                <c:pt idx="39">
                  <c:v>3738.934365650236</c:v>
                </c:pt>
                <c:pt idx="40">
                  <c:v>3723.27217176562</c:v>
                </c:pt>
                <c:pt idx="41">
                  <c:v>3708.0506747772829</c:v>
                </c:pt>
                <c:pt idx="42">
                  <c:v>3693.247415345732</c:v>
                </c:pt>
                <c:pt idx="43">
                  <c:v>3678.841567889267</c:v>
                </c:pt>
                <c:pt idx="44">
                  <c:v>3664.8137877510226</c:v>
                </c:pt>
                <c:pt idx="45">
                  <c:v>3651.1460757032646</c:v>
                </c:pt>
                <c:pt idx="46">
                  <c:v>3637.8216574921394</c:v>
                </c:pt>
                <c:pt idx="47">
                  <c:v>3624.8248764721993</c:v>
                </c:pt>
                <c:pt idx="48">
                  <c:v>3612.141097668044</c:v>
                </c:pt>
                <c:pt idx="49">
                  <c:v>3599.7566218408374</c:v>
                </c:pt>
                <c:pt idx="50">
                  <c:v>3587.6586083391417</c:v>
                </c:pt>
                <c:pt idx="51">
                  <c:v>3575.8350056831673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3-4675-BDD0-20A1692F155A}"/>
            </c:ext>
          </c:extLst>
        </c:ser>
        <c:ser>
          <c:idx val="6"/>
          <c:order val="6"/>
          <c:tx>
            <c:strRef>
              <c:f>PadRates!$A$9</c:f>
              <c:strCache>
                <c:ptCount val="1"/>
                <c:pt idx="0">
                  <c:v>PP07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PadRates!$B$9:$BA$9</c:f>
              <c:numCache>
                <c:formatCode>#,##0</c:formatCode>
                <c:ptCount val="52"/>
                <c:pt idx="0">
                  <c:v>10000</c:v>
                </c:pt>
                <c:pt idx="1">
                  <c:v>8122.5239635623548</c:v>
                </c:pt>
                <c:pt idx="2">
                  <c:v>7192.2309332486448</c:v>
                </c:pt>
                <c:pt idx="3">
                  <c:v>6597.5395538644725</c:v>
                </c:pt>
                <c:pt idx="4">
                  <c:v>6170.3386272000962</c:v>
                </c:pt>
                <c:pt idx="5">
                  <c:v>5841.9068106786553</c:v>
                </c:pt>
                <c:pt idx="6">
                  <c:v>5577.8982530324602</c:v>
                </c:pt>
                <c:pt idx="7">
                  <c:v>5358.8673126814656</c:v>
                </c:pt>
                <c:pt idx="8">
                  <c:v>5172.8185797178658</c:v>
                </c:pt>
                <c:pt idx="9">
                  <c:v>5011.8723362727224</c:v>
                </c:pt>
                <c:pt idx="10">
                  <c:v>4870.5969722582849</c:v>
                </c:pt>
                <c:pt idx="11">
                  <c:v>4745.1028062635505</c:v>
                </c:pt>
                <c:pt idx="12">
                  <c:v>4632.5167075036716</c:v>
                </c:pt>
                <c:pt idx="13">
                  <c:v>4530.6612226568759</c:v>
                </c:pt>
                <c:pt idx="14">
                  <c:v>4437.8500343167507</c:v>
                </c:pt>
                <c:pt idx="15">
                  <c:v>4352.7528164806208</c:v>
                </c:pt>
                <c:pt idx="16">
                  <c:v>4274.3031778825944</c:v>
                </c:pt>
                <c:pt idx="17">
                  <c:v>4201.6342872918949</c:v>
                </c:pt>
                <c:pt idx="18">
                  <c:v>4134.0328157583217</c:v>
                </c:pt>
                <c:pt idx="19">
                  <c:v>4070.9053153690443</c:v>
                </c:pt>
                <c:pt idx="20">
                  <c:v>4011.7532357973632</c:v>
                </c:pt>
                <c:pt idx="21">
                  <c:v>3956.1540624022168</c:v>
                </c:pt>
                <c:pt idx="22">
                  <c:v>3903.7468715365872</c:v>
                </c:pt>
                <c:pt idx="23">
                  <c:v>3854.221125344267</c:v>
                </c:pt>
                <c:pt idx="24">
                  <c:v>3807.3078774317578</c:v>
                </c:pt>
                <c:pt idx="25">
                  <c:v>3762.7727968301556</c:v>
                </c:pt>
                <c:pt idx="26">
                  <c:v>3720.4105801130149</c:v>
                </c:pt>
                <c:pt idx="27">
                  <c:v>3680.0404351813195</c:v>
                </c:pt>
                <c:pt idx="28">
                  <c:v>3641.5024009228405</c:v>
                </c:pt>
                <c:pt idx="29">
                  <c:v>3604.6543250433829</c:v>
                </c:pt>
                <c:pt idx="30">
                  <c:v>3569.3693647162872</c:v>
                </c:pt>
                <c:pt idx="31">
                  <c:v>3535.533905932738</c:v>
                </c:pt>
                <c:pt idx="32">
                  <c:v>3503.0458207263232</c:v>
                </c:pt>
                <c:pt idx="33">
                  <c:v>3471.8129989882109</c:v>
                </c:pt>
                <c:pt idx="34">
                  <c:v>3441.7521049278134</c:v>
                </c:pt>
                <c:pt idx="35">
                  <c:v>3412.7875184653662</c:v>
                </c:pt>
                <c:pt idx="36">
                  <c:v>3384.8504297562549</c:v>
                </c:pt>
                <c:pt idx="37">
                  <c:v>3357.8780612150126</c:v>
                </c:pt>
                <c:pt idx="38">
                  <c:v>3331.8129962499065</c:v>
                </c:pt>
                <c:pt idx="39">
                  <c:v>3306.602597747843</c:v>
                </c:pt>
                <c:pt idx="40">
                  <c:v>3282.1985023960347</c:v>
                </c:pt>
                <c:pt idx="41">
                  <c:v>3258.5561793662905</c:v>
                </c:pt>
                <c:pt idx="42">
                  <c:v>3235.6345438522353</c:v>
                </c:pt>
                <c:pt idx="43">
                  <c:v>3213.3956175406574</c:v>
                </c:pt>
                <c:pt idx="44">
                  <c:v>3191.8042293931485</c:v>
                </c:pt>
                <c:pt idx="45">
                  <c:v>3170.8277511737506</c:v>
                </c:pt>
                <c:pt idx="46">
                  <c:v>3150.435863029214</c:v>
                </c:pt>
                <c:pt idx="47">
                  <c:v>3130.6003451477072</c:v>
                </c:pt>
                <c:pt idx="48">
                  <c:v>3111.2948921182569</c:v>
                </c:pt>
                <c:pt idx="49">
                  <c:v>3092.4949471099171</c:v>
                </c:pt>
                <c:pt idx="50">
                  <c:v>3074.177553405018</c:v>
                </c:pt>
                <c:pt idx="51">
                  <c:v>3056.3212211693481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53-4675-BDD0-20A1692F155A}"/>
            </c:ext>
          </c:extLst>
        </c:ser>
        <c:ser>
          <c:idx val="7"/>
          <c:order val="7"/>
          <c:tx>
            <c:strRef>
              <c:f>PadRates!$A$10</c:f>
              <c:strCache>
                <c:ptCount val="1"/>
                <c:pt idx="0">
                  <c:v>PP08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PadRates!$B$10:$BA$10</c:f>
              <c:numCache>
                <c:formatCode>#,##0</c:formatCode>
                <c:ptCount val="52"/>
                <c:pt idx="0">
                  <c:v>4000</c:v>
                </c:pt>
                <c:pt idx="1">
                  <c:v>3758.0909968560477</c:v>
                </c:pt>
                <c:pt idx="2">
                  <c:v>3623.4233477429475</c:v>
                </c:pt>
                <c:pt idx="3">
                  <c:v>3530.8119851626197</c:v>
                </c:pt>
                <c:pt idx="4">
                  <c:v>3460.6102591729646</c:v>
                </c:pt>
                <c:pt idx="5">
                  <c:v>3404.2886652376924</c:v>
                </c:pt>
                <c:pt idx="6">
                  <c:v>3357.3851697212299</c:v>
                </c:pt>
                <c:pt idx="7">
                  <c:v>3317.2781832577666</c:v>
                </c:pt>
                <c:pt idx="8">
                  <c:v>3282.2991892421769</c:v>
                </c:pt>
                <c:pt idx="9">
                  <c:v>3251.3220646563968</c:v>
                </c:pt>
                <c:pt idx="10">
                  <c:v>3223.5517724029387</c:v>
                </c:pt>
                <c:pt idx="11">
                  <c:v>3198.4066458822153</c:v>
                </c:pt>
                <c:pt idx="12">
                  <c:v>3175.4486166577544</c:v>
                </c:pt>
                <c:pt idx="13">
                  <c:v>3154.3397448268415</c:v>
                </c:pt>
                <c:pt idx="14">
                  <c:v>3134.8140026315227</c:v>
                </c:pt>
                <c:pt idx="15">
                  <c:v>3116.6583186419994</c:v>
                </c:pt>
                <c:pt idx="16">
                  <c:v>3099.6994654264145</c:v>
                </c:pt>
                <c:pt idx="17">
                  <c:v>3083.7947580197319</c:v>
                </c:pt>
                <c:pt idx="18">
                  <c:v>3068.8253093815633</c:v>
                </c:pt>
                <c:pt idx="19">
                  <c:v>3054.6910447661548</c:v>
                </c:pt>
                <c:pt idx="20">
                  <c:v>3041.3069528334559</c:v>
                </c:pt>
                <c:pt idx="21">
                  <c:v>3028.6002234417097</c:v>
                </c:pt>
                <c:pt idx="22">
                  <c:v>3016.5080323094526</c:v>
                </c:pt>
                <c:pt idx="23">
                  <c:v>3004.9758050436249</c:v>
                </c:pt>
                <c:pt idx="24">
                  <c:v>2993.9558414732924</c:v>
                </c:pt>
                <c:pt idx="25">
                  <c:v>2983.4062143101241</c:v>
                </c:pt>
                <c:pt idx="26">
                  <c:v>2973.2898791444627</c:v>
                </c:pt>
                <c:pt idx="27">
                  <c:v>2963.5739490147384</c:v>
                </c:pt>
                <c:pt idx="28">
                  <c:v>2954.2290984128526</c:v>
                </c:pt>
                <c:pt idx="29">
                  <c:v>2945.2290700269486</c:v>
                </c:pt>
                <c:pt idx="30">
                  <c:v>2936.5502637248223</c:v>
                </c:pt>
                <c:pt idx="31">
                  <c:v>2928.171391891251</c:v>
                </c:pt>
                <c:pt idx="32">
                  <c:v>2920.0731886957419</c:v>
                </c:pt>
                <c:pt idx="33">
                  <c:v>2912.2381634946273</c:v>
                </c:pt>
                <c:pt idx="34">
                  <c:v>2904.6503905831128</c:v>
                </c:pt>
                <c:pt idx="35">
                  <c:v>2897.2953290664568</c:v>
                </c:pt>
                <c:pt idx="36">
                  <c:v>2890.1596678289084</c:v>
                </c:pt>
                <c:pt idx="37">
                  <c:v>2883.2311915277064</c:v>
                </c:pt>
                <c:pt idx="38">
                  <c:v>2876.4986642889385</c:v>
                </c:pt>
                <c:pt idx="39">
                  <c:v>2869.9517283781202</c:v>
                </c:pt>
                <c:pt idx="40">
                  <c:v>2863.5808155954423</c:v>
                </c:pt>
                <c:pt idx="41">
                  <c:v>2857.3770695297776</c:v>
                </c:pt>
                <c:pt idx="42">
                  <c:v>2851.3322771165826</c:v>
                </c:pt>
                <c:pt idx="43">
                  <c:v>2845.4388081981256</c:v>
                </c:pt>
                <c:pt idx="44">
                  <c:v>2839.689561991645</c:v>
                </c:pt>
                <c:pt idx="45">
                  <c:v>2834.0779195415262</c:v>
                </c:pt>
                <c:pt idx="46">
                  <c:v>2828.5977013723036</c:v>
                </c:pt>
                <c:pt idx="47">
                  <c:v>2823.2431296761747</c:v>
                </c:pt>
                <c:pt idx="48">
                  <c:v>2818.0087944660131</c:v>
                </c:pt>
                <c:pt idx="49">
                  <c:v>2812.8896232063375</c:v>
                </c:pt>
                <c:pt idx="50">
                  <c:v>2807.8808535031012</c:v>
                </c:pt>
                <c:pt idx="51">
                  <c:v>2802.9780084908152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53-4675-BDD0-20A1692F155A}"/>
            </c:ext>
          </c:extLst>
        </c:ser>
        <c:ser>
          <c:idx val="8"/>
          <c:order val="8"/>
          <c:tx>
            <c:strRef>
              <c:f>PadRates!$A$11</c:f>
              <c:strCache>
                <c:ptCount val="1"/>
                <c:pt idx="0">
                  <c:v>PP09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PadRates!$B$11:$BA$11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53-4675-BDD0-20A1692F155A}"/>
            </c:ext>
          </c:extLst>
        </c:ser>
        <c:ser>
          <c:idx val="9"/>
          <c:order val="9"/>
          <c:tx>
            <c:strRef>
              <c:f>PadRates!$A$12</c:f>
              <c:strCache>
                <c:ptCount val="1"/>
                <c:pt idx="0">
                  <c:v>PP10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PadRates!$B$12:$BA$12</c:f>
              <c:numCache>
                <c:formatCode>#,##0</c:formatCode>
                <c:ptCount val="52"/>
                <c:pt idx="0">
                  <c:v>6000</c:v>
                </c:pt>
                <c:pt idx="1">
                  <c:v>5223.3033797767448</c:v>
                </c:pt>
                <c:pt idx="2">
                  <c:v>4816.4493705613831</c:v>
                </c:pt>
                <c:pt idx="3">
                  <c:v>4547.1496995311945</c:v>
                </c:pt>
                <c:pt idx="4">
                  <c:v>4348.6779820661732</c:v>
                </c:pt>
                <c:pt idx="5">
                  <c:v>4192.9627126294754</c:v>
                </c:pt>
                <c:pt idx="6">
                  <c:v>4065.6654804028858</c:v>
                </c:pt>
                <c:pt idx="7">
                  <c:v>3958.5237323186834</c:v>
                </c:pt>
                <c:pt idx="8">
                  <c:v>3866.3640898635254</c:v>
                </c:pt>
                <c:pt idx="9">
                  <c:v>3785.7440668811596</c:v>
                </c:pt>
                <c:pt idx="10">
                  <c:v>3714.263524103073</c:v>
                </c:pt>
                <c:pt idx="11">
                  <c:v>3650.1860513592346</c:v>
                </c:pt>
                <c:pt idx="12">
                  <c:v>3592.2171332489861</c:v>
                </c:pt>
                <c:pt idx="13">
                  <c:v>3539.3673741383395</c:v>
                </c:pt>
                <c:pt idx="14">
                  <c:v>3490.8645549161279</c:v>
                </c:pt>
                <c:pt idx="15">
                  <c:v>3446.0950649911051</c:v>
                </c:pt>
                <c:pt idx="16">
                  <c:v>3404.5637140294803</c:v>
                </c:pt>
                <c:pt idx="17">
                  <c:v>3365.8654363385986</c:v>
                </c:pt>
                <c:pt idx="18">
                  <c:v>3329.6649169701259</c:v>
                </c:pt>
                <c:pt idx="19">
                  <c:v>3295.6816299183533</c:v>
                </c:pt>
                <c:pt idx="20">
                  <c:v>3263.6786573332711</c:v>
                </c:pt>
                <c:pt idx="21">
                  <c:v>3233.4542031381775</c:v>
                </c:pt>
                <c:pt idx="22">
                  <c:v>3204.8350610653138</c:v>
                </c:pt>
                <c:pt idx="23">
                  <c:v>3177.6715231464364</c:v>
                </c:pt>
                <c:pt idx="24">
                  <c:v>3151.8333652845204</c:v>
                </c:pt>
                <c:pt idx="25">
                  <c:v>3127.2066488318937</c:v>
                </c:pt>
                <c:pt idx="26">
                  <c:v>3103.6911478307197</c:v>
                </c:pt>
                <c:pt idx="27">
                  <c:v>3081.1982612680545</c:v>
                </c:pt>
                <c:pt idx="28">
                  <c:v>3059.6493051328334</c:v>
                </c:pt>
                <c:pt idx="29">
                  <c:v>3038.974104672709</c:v>
                </c:pt>
                <c:pt idx="30">
                  <c:v>3019.1098259910832</c:v>
                </c:pt>
                <c:pt idx="31">
                  <c:v>3000</c:v>
                </c:pt>
                <c:pt idx="32">
                  <c:v>2981.5937021275595</c:v>
                </c:pt>
                <c:pt idx="33">
                  <c:v>2963.8448590259086</c:v>
                </c:pt>
                <c:pt idx="34">
                  <c:v>2946.7116595124194</c:v>
                </c:pt>
                <c:pt idx="35">
                  <c:v>2930.1560515835217</c:v>
                </c:pt>
                <c:pt idx="36">
                  <c:v>2914.1433109148475</c:v>
                </c:pt>
                <c:pt idx="37">
                  <c:v>2898.6416690556853</c:v>
                </c:pt>
                <c:pt idx="38">
                  <c:v>2883.6219917261501</c:v>
                </c:pt>
                <c:pt idx="39">
                  <c:v>2869.0574993701111</c:v>
                </c:pt>
                <c:pt idx="40">
                  <c:v>2854.9235235089736</c:v>
                </c:pt>
                <c:pt idx="41">
                  <c:v>2841.197293559017</c:v>
                </c:pt>
                <c:pt idx="42">
                  <c:v>2827.8577496773496</c:v>
                </c:pt>
                <c:pt idx="43">
                  <c:v>2814.8853779341607</c:v>
                </c:pt>
                <c:pt idx="44">
                  <c:v>2802.2620647068052</c:v>
                </c:pt>
                <c:pt idx="45">
                  <c:v>2789.9709676815769</c:v>
                </c:pt>
                <c:pt idx="46">
                  <c:v>2777.9964012530409</c:v>
                </c:pt>
                <c:pt idx="47">
                  <c:v>2766.3237344451832</c:v>
                </c:pt>
                <c:pt idx="48">
                  <c:v>2754.9392997566047</c:v>
                </c:pt>
                <c:pt idx="49">
                  <c:v>2743.8303115639583</c:v>
                </c:pt>
                <c:pt idx="50">
                  <c:v>2732.9847929122366</c:v>
                </c:pt>
                <c:pt idx="51">
                  <c:v>2722.3915096839892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53-4675-BDD0-20A1692F155A}"/>
            </c:ext>
          </c:extLst>
        </c:ser>
        <c:ser>
          <c:idx val="10"/>
          <c:order val="10"/>
          <c:tx>
            <c:strRef>
              <c:f>PadRates!$A$13</c:f>
              <c:strCache>
                <c:ptCount val="1"/>
                <c:pt idx="0">
                  <c:v>PP11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PadRates!$B$13:$BA$13</c:f>
              <c:numCache>
                <c:formatCode>#,##0</c:formatCode>
                <c:ptCount val="52"/>
                <c:pt idx="0">
                  <c:v>1750</c:v>
                </c:pt>
                <c:pt idx="1">
                  <c:v>1702.1461579714996</c:v>
                </c:pt>
                <c:pt idx="2">
                  <c:v>1674.7623864674272</c:v>
                </c:pt>
                <c:pt idx="3">
                  <c:v>1655.600881769793</c:v>
                </c:pt>
                <c:pt idx="4">
                  <c:v>1640.889169503527</c:v>
                </c:pt>
                <c:pt idx="5">
                  <c:v>1628.9659209375493</c:v>
                </c:pt>
                <c:pt idx="6">
                  <c:v>1618.9525757772117</c:v>
                </c:pt>
                <c:pt idx="7">
                  <c:v>1610.3283885935316</c:v>
                </c:pt>
                <c:pt idx="8">
                  <c:v>1602.7594577863267</c:v>
                </c:pt>
                <c:pt idx="9">
                  <c:v>1596.0189688728419</c:v>
                </c:pt>
                <c:pt idx="10">
                  <c:v>1589.9458785793731</c:v>
                </c:pt>
                <c:pt idx="11">
                  <c:v>1584.4217621659172</c:v>
                </c:pt>
                <c:pt idx="12">
                  <c:v>1579.3570180914096</c:v>
                </c:pt>
                <c:pt idx="13">
                  <c:v>1574.6822324555681</c:v>
                </c:pt>
                <c:pt idx="14">
                  <c:v>1570.3425493978752</c:v>
                </c:pt>
                <c:pt idx="15">
                  <c:v>1566.2938741239516</c:v>
                </c:pt>
                <c:pt idx="16">
                  <c:v>1562.5002367886971</c:v>
                </c:pt>
                <c:pt idx="17">
                  <c:v>1558.9319161277031</c:v>
                </c:pt>
                <c:pt idx="18">
                  <c:v>1555.5640745629005</c:v>
                </c:pt>
                <c:pt idx="19">
                  <c:v>1552.3757462380245</c:v>
                </c:pt>
                <c:pt idx="20">
                  <c:v>1549.3490739349891</c:v>
                </c:pt>
                <c:pt idx="21">
                  <c:v>1546.4687249180001</c:v>
                </c:pt>
                <c:pt idx="22">
                  <c:v>1543.7214376536967</c:v>
                </c:pt>
                <c:pt idx="23">
                  <c:v>1541.0956657583708</c:v>
                </c:pt>
                <c:pt idx="24">
                  <c:v>1538.5812951965572</c:v>
                </c:pt>
                <c:pt idx="25">
                  <c:v>1536.1694173769242</c:v>
                </c:pt>
                <c:pt idx="26">
                  <c:v>1533.8521454031247</c:v>
                </c:pt>
                <c:pt idx="27">
                  <c:v>1531.6224640001308</c:v>
                </c:pt>
                <c:pt idx="28">
                  <c:v>1529.4741059786563</c:v>
                </c:pt>
                <c:pt idx="29">
                  <c:v>1527.4014498038646</c:v>
                </c:pt>
                <c:pt idx="30">
                  <c:v>1525.3994340889319</c:v>
                </c:pt>
                <c:pt idx="31">
                  <c:v>1523.4634857682172</c:v>
                </c:pt>
                <c:pt idx="32">
                  <c:v>1521.5894594077952</c:v>
                </c:pt>
                <c:pt idx="33">
                  <c:v>1519.7735856453937</c:v>
                </c:pt>
                <c:pt idx="34">
                  <c:v>1518.0124271615227</c:v>
                </c:pt>
                <c:pt idx="35">
                  <c:v>1516.3028409005246</c:v>
                </c:pt>
                <c:pt idx="36">
                  <c:v>1514.6419455074022</c:v>
                </c:pt>
                <c:pt idx="37">
                  <c:v>1513.0270931404186</c:v>
                </c:pt>
                <c:pt idx="38">
                  <c:v>1511.4558449730564</c:v>
                </c:pt>
                <c:pt idx="39">
                  <c:v>1509.925949821253</c:v>
                </c:pt>
                <c:pt idx="40">
                  <c:v>1508.4353254298849</c:v>
                </c:pt>
                <c:pt idx="41">
                  <c:v>1506.9820420315102</c:v>
                </c:pt>
                <c:pt idx="42">
                  <c:v>1505.5643078544922</c:v>
                </c:pt>
                <c:pt idx="43">
                  <c:v>1504.1804563098617</c:v>
                </c:pt>
                <c:pt idx="44">
                  <c:v>1502.8289346291026</c:v>
                </c:pt>
                <c:pt idx="45">
                  <c:v>1501.5082937602742</c:v>
                </c:pt>
                <c:pt idx="46">
                  <c:v>1500.217179359058</c:v>
                </c:pt>
                <c:pt idx="47">
                  <c:v>1498.9543237355094</c:v>
                </c:pt>
                <c:pt idx="48">
                  <c:v>1497.7185386375245</c:v>
                </c:pt>
                <c:pt idx="49">
                  <c:v>1496.5087087689335</c:v>
                </c:pt>
                <c:pt idx="50">
                  <c:v>1495.323785954376</c:v>
                </c:pt>
                <c:pt idx="51">
                  <c:v>1494.1627838751133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53-4675-BDD0-20A1692F155A}"/>
            </c:ext>
          </c:extLst>
        </c:ser>
        <c:ser>
          <c:idx val="11"/>
          <c:order val="11"/>
          <c:tx>
            <c:strRef>
              <c:f>PadRates!$A$14</c:f>
              <c:strCache>
                <c:ptCount val="1"/>
                <c:pt idx="0">
                  <c:v>PP12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PadRates!$B$14:$BA$14</c:f>
              <c:numCache>
                <c:formatCode>#,##0</c:formatCode>
                <c:ptCount val="52"/>
                <c:pt idx="0">
                  <c:v>2200</c:v>
                </c:pt>
                <c:pt idx="1">
                  <c:v>2081.3268227963113</c:v>
                </c:pt>
                <c:pt idx="2">
                  <c:v>2014.8976040742393</c:v>
                </c:pt>
                <c:pt idx="3">
                  <c:v>1969.0551560415392</c:v>
                </c:pt>
                <c:pt idx="4">
                  <c:v>1934.2164853899576</c:v>
                </c:pt>
                <c:pt idx="5">
                  <c:v>1906.2092857035166</c:v>
                </c:pt>
                <c:pt idx="6">
                  <c:v>1882.8461628586024</c:v>
                </c:pt>
                <c:pt idx="7">
                  <c:v>1862.8396871975599</c:v>
                </c:pt>
                <c:pt idx="8">
                  <c:v>1845.369252229141</c:v>
                </c:pt>
                <c:pt idx="9">
                  <c:v>1829.8802964258762</c:v>
                </c:pt>
                <c:pt idx="10">
                  <c:v>1815.9808564850209</c:v>
                </c:pt>
                <c:pt idx="11">
                  <c:v>1803.3838709991478</c:v>
                </c:pt>
                <c:pt idx="12">
                  <c:v>1791.8729467128478</c:v>
                </c:pt>
                <c:pt idx="13">
                  <c:v>1781.2810099803276</c:v>
                </c:pt>
                <c:pt idx="14">
                  <c:v>1771.4764373514188</c:v>
                </c:pt>
                <c:pt idx="15">
                  <c:v>1762.3537306971687</c:v>
                </c:pt>
                <c:pt idx="16">
                  <c:v>1753.8270621787476</c:v>
                </c:pt>
                <c:pt idx="17">
                  <c:v>1745.8256921036739</c:v>
                </c:pt>
                <c:pt idx="18">
                  <c:v>1738.2906442957108</c:v>
                </c:pt>
                <c:pt idx="19">
                  <c:v>1731.1722470262005</c:v>
                </c:pt>
                <c:pt idx="20">
                  <c:v>1724.4282829018969</c:v>
                </c:pt>
                <c:pt idx="21">
                  <c:v>1718.022575584951</c:v>
                </c:pt>
                <c:pt idx="22">
                  <c:v>1711.9238953657182</c:v>
                </c:pt>
                <c:pt idx="23">
                  <c:v>1706.1051011403495</c:v>
                </c:pt>
                <c:pt idx="24">
                  <c:v>1700.5424601610362</c:v>
                </c:pt>
                <c:pt idx="25">
                  <c:v>1695.2151031984158</c:v>
                </c:pt>
                <c:pt idx="26">
                  <c:v>1690.1045840676215</c:v>
                </c:pt>
                <c:pt idx="27">
                  <c:v>1685.1945204589813</c:v>
                </c:pt>
                <c:pt idx="28">
                  <c:v>1680.4702987396779</c:v>
                </c:pt>
                <c:pt idx="29">
                  <c:v>1675.918829550526</c:v>
                </c:pt>
                <c:pt idx="30">
                  <c:v>1671.528344078836</c:v>
                </c:pt>
                <c:pt idx="31">
                  <c:v>1667.2882231614381</c:v>
                </c:pt>
                <c:pt idx="32">
                  <c:v>1663.1888530801609</c:v>
                </c:pt>
                <c:pt idx="33">
                  <c:v>1659.2215032084914</c:v>
                </c:pt>
                <c:pt idx="34">
                  <c:v>1655.3782216610605</c:v>
                </c:pt>
                <c:pt idx="35">
                  <c:v>1651.6517458646865</c:v>
                </c:pt>
                <c:pt idx="36">
                  <c:v>1648.0354255670156</c:v>
                </c:pt>
                <c:pt idx="37">
                  <c:v>1644.5231562675197</c:v>
                </c:pt>
                <c:pt idx="38">
                  <c:v>1641.1093214259836</c:v>
                </c:pt>
                <c:pt idx="39">
                  <c:v>1637.788742098269</c:v>
                </c:pt>
                <c:pt idx="40">
                  <c:v>1634.5566328850537</c:v>
                </c:pt>
                <c:pt idx="41">
                  <c:v>1631.4085632692288</c:v>
                </c:pt>
                <c:pt idx="42">
                  <c:v>1628.3404235715354</c:v>
                </c:pt>
                <c:pt idx="43">
                  <c:v>1625.348394879346</c:v>
                </c:pt>
                <c:pt idx="44">
                  <c:v>1622.4289224060653</c:v>
                </c:pt>
                <c:pt idx="45">
                  <c:v>1619.5786918230067</c:v>
                </c:pt>
                <c:pt idx="46">
                  <c:v>1616.7946081753157</c:v>
                </c:pt>
                <c:pt idx="47">
                  <c:v>1614.073777051374</c:v>
                </c:pt>
                <c:pt idx="48">
                  <c:v>1611.4134877233464</c:v>
                </c:pt>
                <c:pt idx="49">
                  <c:v>1608.8111980169056</c:v>
                </c:pt>
                <c:pt idx="50">
                  <c:v>1606.2645207020548</c:v>
                </c:pt>
                <c:pt idx="51">
                  <c:v>1603.7712112255813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53-4675-BDD0-20A1692F155A}"/>
            </c:ext>
          </c:extLst>
        </c:ser>
        <c:ser>
          <c:idx val="12"/>
          <c:order val="12"/>
          <c:tx>
            <c:strRef>
              <c:f>PadRates!$A$15</c:f>
              <c:strCache>
                <c:ptCount val="1"/>
                <c:pt idx="0">
                  <c:v>PP13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PadRates!$B$15:$BA$15</c:f>
              <c:numCache>
                <c:formatCode>#,##0</c:formatCode>
                <c:ptCount val="52"/>
                <c:pt idx="0">
                  <c:v>1600</c:v>
                </c:pt>
                <c:pt idx="1">
                  <c:v>1567.0724761390827</c:v>
                </c:pt>
                <c:pt idx="2">
                  <c:v>1548.1261445667083</c:v>
                </c:pt>
                <c:pt idx="3">
                  <c:v>1534.822590920423</c:v>
                </c:pt>
                <c:pt idx="4">
                  <c:v>1524.5823319713859</c:v>
                </c:pt>
                <c:pt idx="5">
                  <c:v>1516.2661692136273</c:v>
                </c:pt>
                <c:pt idx="6">
                  <c:v>1509.2703540030011</c:v>
                </c:pt>
                <c:pt idx="7">
                  <c:v>1503.2363987424192</c:v>
                </c:pt>
                <c:pt idx="8">
                  <c:v>1497.934099681863</c:v>
                </c:pt>
                <c:pt idx="9">
                  <c:v>1493.2068812751857</c:v>
                </c:pt>
                <c:pt idx="10">
                  <c:v>1488.9434449229723</c:v>
                </c:pt>
                <c:pt idx="11">
                  <c:v>1485.0618626722005</c:v>
                </c:pt>
                <c:pt idx="12">
                  <c:v>1481.5000896165402</c:v>
                </c:pt>
                <c:pt idx="13">
                  <c:v>1478.2100192567457</c:v>
                </c:pt>
                <c:pt idx="14">
                  <c:v>1475.1536047933646</c:v>
                </c:pt>
                <c:pt idx="15">
                  <c:v>1472.3002409998003</c:v>
                </c:pt>
                <c:pt idx="16">
                  <c:v>1469.6249452098546</c:v>
                </c:pt>
                <c:pt idx="17">
                  <c:v>1467.1070616760157</c:v>
                </c:pt>
                <c:pt idx="18">
                  <c:v>1464.729318502893</c:v>
                </c:pt>
                <c:pt idx="19">
                  <c:v>1462.4771280173895</c:v>
                </c:pt>
                <c:pt idx="20">
                  <c:v>1460.338058907186</c:v>
                </c:pt>
                <c:pt idx="21">
                  <c:v>1458.3014319165613</c:v>
                </c:pt>
                <c:pt idx="22">
                  <c:v>1456.358005964958</c:v>
                </c:pt>
                <c:pt idx="23">
                  <c:v>1454.4997314734026</c:v>
                </c:pt>
                <c:pt idx="24">
                  <c:v>1452.7195543495682</c:v>
                </c:pt>
                <c:pt idx="25">
                  <c:v>1451.0112586472906</c:v>
                </c:pt>
                <c:pt idx="26">
                  <c:v>1449.3693390971791</c:v>
                </c:pt>
                <c:pt idx="27">
                  <c:v>1447.788896956419</c:v>
                </c:pt>
                <c:pt idx="28">
                  <c:v>1446.2655542426335</c:v>
                </c:pt>
                <c:pt idx="29">
                  <c:v>1444.795382593145</c:v>
                </c:pt>
                <c:pt idx="30">
                  <c:v>1443.3748438575749</c:v>
                </c:pt>
                <c:pt idx="31">
                  <c:v>1442.0007401773282</c:v>
                </c:pt>
                <c:pt idx="32">
                  <c:v>1440.6701717915464</c:v>
                </c:pt>
                <c:pt idx="33">
                  <c:v>1439.3805011786069</c:v>
                </c:pt>
                <c:pt idx="34">
                  <c:v>1438.129322425734</c:v>
                </c:pt>
                <c:pt idx="35">
                  <c:v>1436.9144349386054</c:v>
                </c:pt>
                <c:pt idx="36">
                  <c:v>1435.7338207739301</c:v>
                </c:pt>
                <c:pt idx="37">
                  <c:v>1434.5856250124002</c:v>
                </c:pt>
                <c:pt idx="38">
                  <c:v>1433.4681386958043</c:v>
                </c:pt>
                <c:pt idx="39">
                  <c:v>1432.3797839368658</c:v>
                </c:pt>
                <c:pt idx="40">
                  <c:v>1431.3191008782969</c:v>
                </c:pt>
                <c:pt idx="41">
                  <c:v>1430.2847362323912</c:v>
                </c:pt>
                <c:pt idx="42">
                  <c:v>1429.2754331768951</c:v>
                </c:pt>
                <c:pt idx="43">
                  <c:v>1428.2900224191601</c:v>
                </c:pt>
                <c:pt idx="44">
                  <c:v>1427.3274142702708</c:v>
                </c:pt>
                <c:pt idx="45">
                  <c:v>1426.3865915953027</c:v>
                </c:pt>
                <c:pt idx="46">
                  <c:v>1425.4666035261005</c:v>
                </c:pt>
                <c:pt idx="47">
                  <c:v>1424.5665598397852</c:v>
                </c:pt>
                <c:pt idx="48">
                  <c:v>1423.6856259202152</c:v>
                </c:pt>
                <c:pt idx="49">
                  <c:v>1422.8230182314016</c:v>
                </c:pt>
                <c:pt idx="50">
                  <c:v>1421.9780002417453</c:v>
                </c:pt>
                <c:pt idx="51">
                  <c:v>1421.1498787463106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53-4675-BDD0-20A1692F155A}"/>
            </c:ext>
          </c:extLst>
        </c:ser>
        <c:ser>
          <c:idx val="13"/>
          <c:order val="13"/>
          <c:tx>
            <c:strRef>
              <c:f>PadRates!$A$16</c:f>
              <c:strCache>
                <c:ptCount val="1"/>
                <c:pt idx="0">
                  <c:v>PP14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PadRates!$B$16:$BA$16</c:f>
              <c:numCache>
                <c:formatCode>#,##0</c:formatCode>
                <c:ptCount val="52"/>
                <c:pt idx="0">
                  <c:v>3200</c:v>
                </c:pt>
                <c:pt idx="1">
                  <c:v>2924.2606407340818</c:v>
                </c:pt>
                <c:pt idx="2">
                  <c:v>2774.1134322504104</c:v>
                </c:pt>
                <c:pt idx="3">
                  <c:v>2672.2813421707824</c:v>
                </c:pt>
                <c:pt idx="4">
                  <c:v>2595.8756087541533</c:v>
                </c:pt>
                <c:pt idx="5">
                  <c:v>2535.0721008942523</c:v>
                </c:pt>
                <c:pt idx="6">
                  <c:v>2484.7759398383523</c:v>
                </c:pt>
                <c:pt idx="7">
                  <c:v>2442.0147343368944</c:v>
                </c:pt>
                <c:pt idx="8">
                  <c:v>2404.9079171850481</c:v>
                </c:pt>
                <c:pt idx="9">
                  <c:v>2372.1927721629354</c:v>
                </c:pt>
                <c:pt idx="10">
                  <c:v>2342.9818765345308</c:v>
                </c:pt>
                <c:pt idx="11">
                  <c:v>2316.628614396288</c:v>
                </c:pt>
                <c:pt idx="12">
                  <c:v>2292.6477980832383</c:v>
                </c:pt>
                <c:pt idx="13">
                  <c:v>2270.6664005976036</c:v>
                </c:pt>
                <c:pt idx="14">
                  <c:v>2250.3916858425341</c:v>
                </c:pt>
                <c:pt idx="15">
                  <c:v>2231.5898661606484</c:v>
                </c:pt>
                <c:pt idx="16">
                  <c:v>2214.0713822640323</c:v>
                </c:pt>
                <c:pt idx="17">
                  <c:v>2197.6804896293797</c:v>
                </c:pt>
                <c:pt idx="18">
                  <c:v>2182.2877268038114</c:v>
                </c:pt>
                <c:pt idx="19">
                  <c:v>2167.7843612093579</c:v>
                </c:pt>
                <c:pt idx="20">
                  <c:v>2154.0782221369409</c:v>
                </c:pt>
                <c:pt idx="21">
                  <c:v>2141.0905260947525</c:v>
                </c:pt>
                <c:pt idx="22">
                  <c:v>2128.7534246083073</c:v>
                </c:pt>
                <c:pt idx="23">
                  <c:v>2117.0080863366866</c:v>
                </c:pt>
                <c:pt idx="24">
                  <c:v>2105.8031800389836</c:v>
                </c:pt>
                <c:pt idx="25">
                  <c:v>2095.0936621876472</c:v>
                </c:pt>
                <c:pt idx="26">
                  <c:v>2084.8397988713746</c:v>
                </c:pt>
                <c:pt idx="27">
                  <c:v>2075.0063698452805</c:v>
                </c:pt>
                <c:pt idx="28">
                  <c:v>2065.5620156119448</c:v>
                </c:pt>
                <c:pt idx="29">
                  <c:v>2056.4786978576685</c:v>
                </c:pt>
                <c:pt idx="30">
                  <c:v>2047.7312504957936</c:v>
                </c:pt>
                <c:pt idx="31">
                  <c:v>2039.2970037108191</c:v>
                </c:pt>
                <c:pt idx="32">
                  <c:v>2031.1554672542859</c:v>
                </c:pt>
                <c:pt idx="33">
                  <c:v>2023.2880621657537</c:v>
                </c:pt>
                <c:pt idx="34">
                  <c:v>2015.6778923267364</c:v>
                </c:pt>
                <c:pt idx="35">
                  <c:v>2008.309548978875</c:v>
                </c:pt>
                <c:pt idx="36">
                  <c:v>2001.1689426776709</c:v>
                </c:pt>
                <c:pt idx="37">
                  <c:v>1994.2431582029492</c:v>
                </c:pt>
                <c:pt idx="38">
                  <c:v>1987.5203287756367</c:v>
                </c:pt>
                <c:pt idx="39">
                  <c:v>1980.9895265885623</c:v>
                </c:pt>
                <c:pt idx="40">
                  <c:v>1974.6406671851364</c:v>
                </c:pt>
                <c:pt idx="41">
                  <c:v>1968.4644256429697</c:v>
                </c:pt>
                <c:pt idx="42">
                  <c:v>1962.4521628618058</c:v>
                </c:pt>
                <c:pt idx="43">
                  <c:v>1956.5958605335979</c:v>
                </c:pt>
                <c:pt idx="44">
                  <c:v>1950.8880636001311</c:v>
                </c:pt>
                <c:pt idx="45">
                  <c:v>1945.3218291906121</c:v>
                </c:pt>
                <c:pt idx="46">
                  <c:v>1939.8906811859529</c:v>
                </c:pt>
                <c:pt idx="47">
                  <c:v>1934.5885696844221</c:v>
                </c:pt>
                <c:pt idx="48">
                  <c:v>1929.4098347498648</c:v>
                </c:pt>
                <c:pt idx="49">
                  <c:v>1924.3491739127076</c:v>
                </c:pt>
                <c:pt idx="50">
                  <c:v>1919.4016129687138</c:v>
                </c:pt>
                <c:pt idx="51">
                  <c:v>1914.5624796833633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53-4675-BDD0-20A1692F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334175"/>
        <c:axId val="360337535"/>
      </c:lineChart>
      <c:catAx>
        <c:axId val="3603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7535"/>
        <c:crosses val="autoZero"/>
        <c:auto val="1"/>
        <c:lblAlgn val="ctr"/>
        <c:lblOffset val="100"/>
        <c:tickLblSkip val="3"/>
        <c:tickMarkSkip val="2"/>
        <c:noMultiLvlLbl val="0"/>
      </c:catAx>
      <c:valAx>
        <c:axId val="360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Production Rate [bbl/day]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503714</xdr:colOff>
      <xdr:row>6</xdr:row>
      <xdr:rowOff>4946</xdr:rowOff>
    </xdr:from>
    <xdr:to>
      <xdr:col>16</xdr:col>
      <xdr:colOff>404754</xdr:colOff>
      <xdr:row>28</xdr:row>
      <xdr:rowOff>144522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B3C07-F1EA-47EB-AEEC-96EF7CAC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4562" y="1156229"/>
          <a:ext cx="2965605" cy="4330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7B5F8-DE22-7BDB-D1A5-7C96F69A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01950" cy="642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12</xdr:row>
      <xdr:rowOff>140970</xdr:rowOff>
    </xdr:from>
    <xdr:to>
      <xdr:col>14</xdr:col>
      <xdr:colOff>320040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8F2CA-C262-E47A-6AC2-B63297DB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074-61D5-4D82-B0DB-255C2595EBED}">
  <sheetPr>
    <tabColor theme="2" tint="-9.9978637043366805E-2"/>
  </sheetPr>
  <dimension ref="B1:M37"/>
  <sheetViews>
    <sheetView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1" spans="2:11" ht="15" thickBot="1" x14ac:dyDescent="0.35"/>
    <row r="2" spans="2:11" x14ac:dyDescent="0.3">
      <c r="B2" s="14"/>
      <c r="C2" s="15"/>
      <c r="D2" s="15"/>
      <c r="E2" s="15"/>
      <c r="F2" s="15"/>
      <c r="G2" s="15"/>
      <c r="H2" s="15"/>
      <c r="I2" s="15"/>
      <c r="J2" s="15"/>
      <c r="K2" s="16"/>
    </row>
    <row r="3" spans="2:11" x14ac:dyDescent="0.3">
      <c r="B3" s="17"/>
      <c r="C3" s="18" t="s">
        <v>0</v>
      </c>
      <c r="D3" s="19"/>
      <c r="E3" s="19"/>
      <c r="F3" s="19"/>
      <c r="G3" s="19"/>
      <c r="H3" s="19"/>
      <c r="I3" s="19"/>
      <c r="J3" s="19"/>
      <c r="K3" s="20"/>
    </row>
    <row r="4" spans="2:11" x14ac:dyDescent="0.3">
      <c r="B4" s="17"/>
      <c r="C4" s="19"/>
      <c r="D4" s="19"/>
      <c r="E4" s="19"/>
      <c r="F4" s="19"/>
      <c r="G4" s="19"/>
      <c r="H4" s="19"/>
      <c r="I4" s="19"/>
      <c r="J4" s="19"/>
      <c r="K4" s="20"/>
    </row>
    <row r="5" spans="2:11" x14ac:dyDescent="0.3">
      <c r="B5" s="17"/>
      <c r="C5" s="19" t="s">
        <v>1</v>
      </c>
      <c r="D5" s="19"/>
      <c r="E5" s="19"/>
      <c r="F5" s="19"/>
      <c r="G5" s="19"/>
      <c r="H5" s="19"/>
      <c r="I5" s="19"/>
      <c r="J5" s="19"/>
      <c r="K5" s="20"/>
    </row>
    <row r="6" spans="2:11" x14ac:dyDescent="0.3">
      <c r="B6" s="17"/>
      <c r="C6" s="19" t="s">
        <v>2</v>
      </c>
      <c r="D6" s="19"/>
      <c r="E6" s="19"/>
      <c r="F6" s="19"/>
      <c r="G6" s="19"/>
      <c r="H6" s="19"/>
      <c r="I6" s="19"/>
      <c r="J6" s="19"/>
      <c r="K6" s="20"/>
    </row>
    <row r="7" spans="2:11" x14ac:dyDescent="0.3">
      <c r="B7" s="17"/>
      <c r="C7" s="19" t="s">
        <v>3</v>
      </c>
      <c r="D7" s="19"/>
      <c r="E7" s="19"/>
      <c r="F7" s="19"/>
      <c r="G7" s="19"/>
      <c r="H7" s="19"/>
      <c r="I7" s="19"/>
      <c r="J7" s="19"/>
      <c r="K7" s="20"/>
    </row>
    <row r="8" spans="2:11" x14ac:dyDescent="0.3">
      <c r="B8" s="17"/>
      <c r="C8" s="19" t="s">
        <v>4</v>
      </c>
      <c r="D8" s="19"/>
      <c r="E8" s="19"/>
      <c r="F8" s="19"/>
      <c r="G8" s="19"/>
      <c r="H8" s="19"/>
      <c r="I8" s="19"/>
      <c r="J8" s="19"/>
      <c r="K8" s="20"/>
    </row>
    <row r="9" spans="2:11" x14ac:dyDescent="0.3">
      <c r="B9" s="17"/>
      <c r="C9" s="19" t="s">
        <v>5</v>
      </c>
      <c r="D9" s="19"/>
      <c r="E9" s="19"/>
      <c r="F9" s="19"/>
      <c r="G9" s="19"/>
      <c r="H9" s="19"/>
      <c r="I9" s="19"/>
      <c r="J9" s="19"/>
      <c r="K9" s="20"/>
    </row>
    <row r="10" spans="2:11" x14ac:dyDescent="0.3">
      <c r="B10" s="17"/>
      <c r="C10" s="19" t="s">
        <v>6</v>
      </c>
      <c r="D10" s="19"/>
      <c r="E10" s="19"/>
      <c r="F10" s="19"/>
      <c r="G10" s="19"/>
      <c r="H10" s="19"/>
      <c r="I10" s="19"/>
      <c r="J10" s="19"/>
      <c r="K10" s="20"/>
    </row>
    <row r="11" spans="2:11" x14ac:dyDescent="0.3">
      <c r="B11" s="17"/>
      <c r="C11" s="19"/>
      <c r="D11" s="19"/>
      <c r="E11" s="19"/>
      <c r="F11" s="19"/>
      <c r="G11" s="19"/>
      <c r="H11" s="19"/>
      <c r="I11" s="19"/>
      <c r="J11" s="19"/>
      <c r="K11" s="20"/>
    </row>
    <row r="12" spans="2:11" x14ac:dyDescent="0.3">
      <c r="B12" s="17"/>
      <c r="C12" s="19" t="s">
        <v>7</v>
      </c>
      <c r="D12" s="19"/>
      <c r="E12" s="19"/>
      <c r="F12" s="19"/>
      <c r="G12" s="19"/>
      <c r="H12" s="19"/>
      <c r="I12" s="19"/>
      <c r="J12" s="19"/>
      <c r="K12" s="20"/>
    </row>
    <row r="13" spans="2:11" x14ac:dyDescent="0.3">
      <c r="B13" s="17"/>
      <c r="C13" s="19" t="s">
        <v>8</v>
      </c>
      <c r="D13" s="19"/>
      <c r="E13" s="19"/>
      <c r="F13" s="19"/>
      <c r="G13" s="19"/>
      <c r="H13" s="19"/>
      <c r="I13" s="19"/>
      <c r="J13" s="19"/>
      <c r="K13" s="20"/>
    </row>
    <row r="14" spans="2:11" x14ac:dyDescent="0.3">
      <c r="B14" s="17"/>
      <c r="C14" s="19"/>
      <c r="D14" s="19"/>
      <c r="E14" s="19"/>
      <c r="F14" s="19"/>
      <c r="G14" s="19"/>
      <c r="H14" s="19"/>
      <c r="I14" s="19"/>
      <c r="J14" s="19"/>
      <c r="K14" s="20"/>
    </row>
    <row r="15" spans="2:11" x14ac:dyDescent="0.3">
      <c r="B15" s="17"/>
      <c r="C15" s="19" t="s">
        <v>9</v>
      </c>
      <c r="D15" s="19"/>
      <c r="E15" s="19"/>
      <c r="F15" s="19"/>
      <c r="G15" s="19"/>
      <c r="H15" s="19"/>
      <c r="I15" s="19"/>
      <c r="J15" s="19"/>
      <c r="K15" s="20"/>
    </row>
    <row r="16" spans="2:11" x14ac:dyDescent="0.3">
      <c r="B16" s="17"/>
      <c r="C16" s="19" t="s">
        <v>10</v>
      </c>
      <c r="D16" s="19"/>
      <c r="E16" s="19"/>
      <c r="F16" s="19"/>
      <c r="G16" s="19"/>
      <c r="H16" s="19"/>
      <c r="I16" s="19"/>
      <c r="J16" s="19"/>
      <c r="K16" s="20"/>
    </row>
    <row r="17" spans="2:13" x14ac:dyDescent="0.3">
      <c r="B17" s="17"/>
      <c r="C17" s="19" t="s">
        <v>11</v>
      </c>
      <c r="D17" s="19"/>
      <c r="E17" s="19"/>
      <c r="F17" s="19"/>
      <c r="G17" s="19"/>
      <c r="H17" s="19"/>
      <c r="I17" s="19"/>
      <c r="J17" s="19"/>
      <c r="K17" s="20"/>
    </row>
    <row r="18" spans="2:13" x14ac:dyDescent="0.3">
      <c r="B18" s="17"/>
      <c r="C18" s="19" t="s">
        <v>12</v>
      </c>
      <c r="D18" s="19"/>
      <c r="E18" s="19"/>
      <c r="F18" s="19"/>
      <c r="G18" s="19"/>
      <c r="H18" s="19"/>
      <c r="I18" s="19"/>
      <c r="J18" s="19"/>
      <c r="K18" s="20"/>
    </row>
    <row r="19" spans="2:13" x14ac:dyDescent="0.3">
      <c r="B19" s="17"/>
      <c r="C19" s="19"/>
      <c r="D19" s="19"/>
      <c r="E19" s="19"/>
      <c r="F19" s="19"/>
      <c r="G19" s="19"/>
      <c r="H19" s="19"/>
      <c r="I19" s="19"/>
      <c r="J19" s="19"/>
      <c r="K19" s="20"/>
    </row>
    <row r="20" spans="2:13" x14ac:dyDescent="0.3">
      <c r="B20" s="17"/>
      <c r="C20" s="19"/>
      <c r="D20" s="19"/>
      <c r="E20" s="19"/>
      <c r="F20" s="19"/>
      <c r="G20" s="19"/>
      <c r="H20" s="19"/>
      <c r="I20" s="19"/>
      <c r="J20" s="19"/>
      <c r="K20" s="20"/>
    </row>
    <row r="21" spans="2:13" x14ac:dyDescent="0.3">
      <c r="B21" s="17"/>
      <c r="C21" s="21" t="s">
        <v>13</v>
      </c>
      <c r="D21" s="19"/>
      <c r="E21" s="19"/>
      <c r="F21" s="21" t="s">
        <v>14</v>
      </c>
      <c r="G21" s="19"/>
      <c r="H21" s="19"/>
      <c r="I21" s="19"/>
      <c r="J21" s="19"/>
      <c r="K21" s="20"/>
    </row>
    <row r="22" spans="2:13" x14ac:dyDescent="0.3">
      <c r="B22" s="17"/>
      <c r="C22" s="19"/>
      <c r="D22" s="19"/>
      <c r="E22" s="19"/>
      <c r="F22" s="19"/>
      <c r="G22" s="19"/>
      <c r="H22" s="19"/>
      <c r="I22" s="19"/>
      <c r="J22" s="19"/>
      <c r="K22" s="20"/>
    </row>
    <row r="23" spans="2:13" x14ac:dyDescent="0.3">
      <c r="B23" s="17"/>
      <c r="C23" s="22" t="s">
        <v>15</v>
      </c>
      <c r="D23" s="19"/>
      <c r="E23" s="19"/>
      <c r="F23" s="19" t="s">
        <v>16</v>
      </c>
      <c r="G23" s="19"/>
      <c r="H23" s="19"/>
      <c r="I23" s="19"/>
      <c r="J23" s="19"/>
      <c r="K23" s="20"/>
    </row>
    <row r="24" spans="2:13" x14ac:dyDescent="0.3">
      <c r="B24" s="17"/>
      <c r="C24" s="22" t="s">
        <v>17</v>
      </c>
      <c r="D24" s="19"/>
      <c r="E24" s="19"/>
      <c r="F24" s="19" t="s">
        <v>18</v>
      </c>
      <c r="G24" s="19"/>
      <c r="H24" s="19"/>
      <c r="I24" s="19"/>
      <c r="J24" s="19"/>
      <c r="K24" s="20"/>
    </row>
    <row r="25" spans="2:13" x14ac:dyDescent="0.3">
      <c r="B25" s="17"/>
      <c r="C25" s="22" t="s">
        <v>19</v>
      </c>
      <c r="D25" s="19"/>
      <c r="E25" s="19"/>
      <c r="F25" s="19" t="s">
        <v>20</v>
      </c>
      <c r="G25" s="19"/>
      <c r="H25" s="19"/>
      <c r="I25" s="19"/>
      <c r="J25" s="19"/>
      <c r="K25" s="20"/>
    </row>
    <row r="26" spans="2:13" x14ac:dyDescent="0.3">
      <c r="B26" s="17"/>
      <c r="C26" s="22" t="s">
        <v>21</v>
      </c>
      <c r="D26" s="19"/>
      <c r="E26" s="19"/>
      <c r="F26" s="19" t="s">
        <v>22</v>
      </c>
      <c r="G26" s="19"/>
      <c r="H26" s="19"/>
      <c r="I26" s="19"/>
      <c r="J26" s="19"/>
      <c r="K26" s="20"/>
    </row>
    <row r="27" spans="2:13" x14ac:dyDescent="0.3">
      <c r="B27" s="17"/>
      <c r="C27" s="22" t="s">
        <v>23</v>
      </c>
      <c r="D27" s="19"/>
      <c r="E27" s="19"/>
      <c r="F27" s="19" t="s">
        <v>24</v>
      </c>
      <c r="G27" s="19"/>
      <c r="H27" s="19"/>
      <c r="I27" s="19"/>
      <c r="J27" s="19"/>
      <c r="K27" s="20"/>
    </row>
    <row r="28" spans="2:13" x14ac:dyDescent="0.3">
      <c r="B28" s="17"/>
      <c r="C28" s="22" t="s">
        <v>25</v>
      </c>
      <c r="D28" s="19"/>
      <c r="E28" s="19"/>
      <c r="F28" s="19" t="s">
        <v>26</v>
      </c>
      <c r="G28" s="19"/>
      <c r="H28" s="19"/>
      <c r="I28" s="19"/>
      <c r="J28" s="19"/>
      <c r="K28" s="20"/>
    </row>
    <row r="29" spans="2:13" x14ac:dyDescent="0.3">
      <c r="B29" s="17"/>
      <c r="C29" s="22" t="s">
        <v>27</v>
      </c>
      <c r="D29" s="19"/>
      <c r="E29" s="19"/>
      <c r="F29" s="19" t="s">
        <v>28</v>
      </c>
      <c r="G29" s="19"/>
      <c r="H29" s="19"/>
      <c r="I29" s="19"/>
      <c r="J29" s="19"/>
      <c r="K29" s="20"/>
    </row>
    <row r="30" spans="2:13" x14ac:dyDescent="0.3">
      <c r="B30" s="17"/>
      <c r="C30" s="22" t="s">
        <v>29</v>
      </c>
      <c r="D30" s="19"/>
      <c r="E30" s="19"/>
      <c r="F30" s="19" t="s">
        <v>30</v>
      </c>
      <c r="G30" s="19"/>
      <c r="H30" s="19"/>
      <c r="I30" s="19"/>
      <c r="J30" s="19"/>
      <c r="K30" s="20"/>
    </row>
    <row r="31" spans="2:13" x14ac:dyDescent="0.3">
      <c r="B31" s="17"/>
      <c r="C31" s="22" t="s">
        <v>330</v>
      </c>
      <c r="D31" s="19"/>
      <c r="E31" s="19"/>
      <c r="F31" s="19" t="s">
        <v>329</v>
      </c>
      <c r="G31" s="19"/>
      <c r="H31" s="19"/>
      <c r="I31" s="19"/>
      <c r="J31" s="19"/>
      <c r="K31" s="20"/>
      <c r="M31" s="26" t="s">
        <v>31</v>
      </c>
    </row>
    <row r="32" spans="2:13" x14ac:dyDescent="0.3">
      <c r="B32" s="17"/>
      <c r="C32" s="22" t="s">
        <v>32</v>
      </c>
      <c r="D32" s="19"/>
      <c r="E32" s="19"/>
      <c r="F32" s="19" t="s">
        <v>33</v>
      </c>
      <c r="G32" s="19"/>
      <c r="H32" s="19"/>
      <c r="I32" s="19"/>
      <c r="J32" s="19"/>
      <c r="K32" s="20"/>
    </row>
    <row r="33" spans="2:11" x14ac:dyDescent="0.3">
      <c r="B33" s="17"/>
      <c r="C33" s="22" t="s">
        <v>34</v>
      </c>
      <c r="D33" s="19"/>
      <c r="E33" s="19"/>
      <c r="F33" s="19" t="s">
        <v>35</v>
      </c>
      <c r="G33" s="19"/>
      <c r="H33" s="19"/>
      <c r="I33" s="19"/>
      <c r="J33" s="19"/>
      <c r="K33" s="20"/>
    </row>
    <row r="34" spans="2:11" x14ac:dyDescent="0.3">
      <c r="B34" s="17"/>
      <c r="C34" s="22" t="s">
        <v>36</v>
      </c>
      <c r="D34" s="19"/>
      <c r="E34" s="19"/>
      <c r="F34" s="19" t="s">
        <v>37</v>
      </c>
      <c r="G34" s="19"/>
      <c r="H34" s="19"/>
      <c r="I34" s="19"/>
      <c r="J34" s="19"/>
      <c r="K34" s="20"/>
    </row>
    <row r="35" spans="2:11" x14ac:dyDescent="0.3">
      <c r="B35" s="17"/>
      <c r="C35" s="22" t="s">
        <v>38</v>
      </c>
      <c r="D35" s="19"/>
      <c r="E35" s="19"/>
      <c r="F35" s="19" t="s">
        <v>39</v>
      </c>
      <c r="G35" s="19"/>
      <c r="H35" s="19"/>
      <c r="I35" s="19"/>
      <c r="J35" s="19"/>
      <c r="K35" s="20"/>
    </row>
    <row r="36" spans="2:11" x14ac:dyDescent="0.3">
      <c r="B36" s="17"/>
      <c r="C36" s="22" t="s">
        <v>40</v>
      </c>
      <c r="D36" s="19"/>
      <c r="E36" s="19"/>
      <c r="F36" s="19" t="s">
        <v>41</v>
      </c>
      <c r="G36" s="19"/>
      <c r="H36" s="19"/>
      <c r="I36" s="19"/>
      <c r="J36" s="19"/>
      <c r="K36" s="20"/>
    </row>
    <row r="37" spans="2:11" ht="15" thickBot="1" x14ac:dyDescent="0.35">
      <c r="B37" s="23"/>
      <c r="C37" s="24"/>
      <c r="D37" s="24"/>
      <c r="E37" s="24"/>
      <c r="F37" s="24"/>
      <c r="G37" s="24"/>
      <c r="H37" s="24"/>
      <c r="I37" s="24"/>
      <c r="J37" s="24"/>
      <c r="K37" s="25"/>
    </row>
  </sheetData>
  <hyperlinks>
    <hyperlink ref="C23" location="ProductionPads!A1" display="Production Pads" xr:uid="{9F210CF9-07D8-4A5E-93FA-C36DB3D0C25C}"/>
    <hyperlink ref="C24" location="CompletionsPads!A1" display="Completion Pads" xr:uid="{FCB2B4B8-DE9A-4CA5-90EE-5ABB7DC62CE8}"/>
    <hyperlink ref="C25" location="SWDSites!A1" display="SWD Sites" xr:uid="{578FF2CF-9534-4CAF-BB8F-4D4AA1E825D5}"/>
    <hyperlink ref="C26" location="TruckingTime!A1" display="Drive Times" xr:uid="{5F5D0203-D880-4C5E-BE1C-955F74100BBC}"/>
    <hyperlink ref="C27" location="CompletionsDemand!A1" display="Completions Demand" xr:uid="{A43BADFA-E10F-491D-84C5-C8FC31AD4621}"/>
    <hyperlink ref="C28" location="FlowbackRates!A1" display="Flowback Rates" xr:uid="{7AB55603-1A43-41A6-9693-1B89B6DCD5C2}"/>
    <hyperlink ref="C29" location="PadRates!A1" display="Production Rates" xr:uid="{60EE3CB2-6945-4EF9-994B-D4937DBB327B}"/>
    <hyperlink ref="C30" location="DisposalOperatingCapacity!A1" display="Disposal Capacity" xr:uid="{CAE3DFDA-8B08-4283-9205-309B32142AC6}"/>
    <hyperlink ref="C31" location="ExternalSourcingCost!A1" display="External Water Costs" xr:uid="{88138AE4-1159-418A-A895-39D1A4152B0C}"/>
    <hyperlink ref="C32" location="ReuseOperationalCost!A1" display="Reuse Costs" xr:uid="{146BA03C-3C08-4957-9F2D-51584E8F9494}"/>
    <hyperlink ref="C33" location="DisposalOperationalCost!A1" display="Disposal Costs" xr:uid="{906CEF7C-3D67-4EB0-9995-1E45CB542C7C}"/>
    <hyperlink ref="C34" location="TruckingHourlyCost!A1" display="Hauling Rates" xr:uid="{E573813D-C46B-4CBC-BD31-9C5E10AF7D7A}"/>
    <hyperlink ref="C35" location="InitialPipelineCapacity!A1" display="Transfer Lines" xr:uid="{DE4838A7-5816-4652-8F68-37E66B00E2ED}"/>
    <hyperlink ref="C36" location="PipelineCapexDistanceBased!A1" display="Pipeline Expansion" xr:uid="{71654592-CF02-4564-8F69-88D94B3F411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CD0-9FF0-4128-B77A-FE703C6CAEA8}">
  <sheetPr>
    <tabColor theme="2" tint="-9.9978637043366805E-2"/>
  </sheetPr>
  <dimension ref="C3:M36"/>
  <sheetViews>
    <sheetView zoomScale="84"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3" spans="3:3" x14ac:dyDescent="0.3">
      <c r="C3" s="40"/>
    </row>
    <row r="21" spans="3:13" x14ac:dyDescent="0.3">
      <c r="C21" s="41"/>
      <c r="F21" s="41"/>
    </row>
    <row r="23" spans="3:13" x14ac:dyDescent="0.3">
      <c r="C23" s="42"/>
    </row>
    <row r="24" spans="3:13" x14ac:dyDescent="0.3">
      <c r="C24" s="42"/>
    </row>
    <row r="25" spans="3:13" x14ac:dyDescent="0.3">
      <c r="C25" s="42"/>
    </row>
    <row r="26" spans="3:13" x14ac:dyDescent="0.3">
      <c r="C26" s="42"/>
    </row>
    <row r="27" spans="3:13" x14ac:dyDescent="0.3">
      <c r="C27" s="42"/>
    </row>
    <row r="28" spans="3:13" x14ac:dyDescent="0.3">
      <c r="C28" s="42"/>
    </row>
    <row r="29" spans="3:13" x14ac:dyDescent="0.3">
      <c r="C29" s="42"/>
    </row>
    <row r="30" spans="3:13" x14ac:dyDescent="0.3">
      <c r="C30" s="42"/>
    </row>
    <row r="31" spans="3:13" x14ac:dyDescent="0.3">
      <c r="C31" s="42"/>
      <c r="M31" s="26"/>
    </row>
    <row r="32" spans="3:13" x14ac:dyDescent="0.3">
      <c r="C32" s="42"/>
    </row>
    <row r="33" spans="3:3" x14ac:dyDescent="0.3">
      <c r="C33" s="42"/>
    </row>
    <row r="34" spans="3:3" x14ac:dyDescent="0.3">
      <c r="C34" s="42"/>
    </row>
    <row r="35" spans="3:3" x14ac:dyDescent="0.3">
      <c r="C35" s="42"/>
    </row>
    <row r="36" spans="3:3" x14ac:dyDescent="0.3">
      <c r="C36" s="4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10CD-C2F5-4A5B-9D35-9BA20FBC12B6}">
  <sheetPr>
    <tabColor theme="2" tint="-9.9978637043366805E-2"/>
  </sheetPr>
  <dimension ref="A1:BB12"/>
  <sheetViews>
    <sheetView zoomScaleNormal="100" workbookViewId="0">
      <selection activeCell="A11" sqref="A11:XFD11"/>
    </sheetView>
  </sheetViews>
  <sheetFormatPr defaultColWidth="9.33203125" defaultRowHeight="15.6" x14ac:dyDescent="0.3"/>
  <cols>
    <col min="1" max="1" width="16.88671875" style="1" customWidth="1"/>
    <col min="2" max="2" width="13.109375" style="1" customWidth="1"/>
    <col min="3" max="3" width="9.33203125" style="1"/>
    <col min="4" max="4" width="92.5546875" style="1" bestFit="1" customWidth="1"/>
    <col min="5" max="5" width="8.44140625" style="1" bestFit="1" customWidth="1"/>
    <col min="6" max="6" width="2.33203125" style="1" bestFit="1" customWidth="1"/>
    <col min="7" max="7" width="12.44140625" style="1" bestFit="1" customWidth="1"/>
    <col min="8" max="8" width="0.6640625" style="1" customWidth="1"/>
    <col min="9" max="9" width="8.44140625" style="1" bestFit="1" customWidth="1"/>
    <col min="10" max="10" width="2.33203125" style="1" bestFit="1" customWidth="1"/>
    <col min="11" max="11" width="12.44140625" style="1" bestFit="1" customWidth="1"/>
    <col min="12" max="48" width="9.33203125" style="1"/>
    <col min="49" max="49" width="13.88671875" style="1" bestFit="1" customWidth="1"/>
    <col min="50" max="50" width="9.33203125" style="1" bestFit="1" customWidth="1"/>
    <col min="51" max="51" width="6.33203125" style="1" bestFit="1" customWidth="1"/>
    <col min="52" max="52" width="9.33203125" style="1" bestFit="1" customWidth="1"/>
    <col min="53" max="53" width="15.5546875" style="1" bestFit="1" customWidth="1"/>
    <col min="54" max="16384" width="9.33203125" style="1"/>
  </cols>
  <sheetData>
    <row r="1" spans="1:54" ht="16.2" thickBot="1" x14ac:dyDescent="0.35">
      <c r="A1" s="1" t="s">
        <v>42</v>
      </c>
    </row>
    <row r="2" spans="1:54" s="8" customFormat="1" x14ac:dyDescent="0.3">
      <c r="A2" s="6" t="s">
        <v>43</v>
      </c>
      <c r="B2" s="27" t="s">
        <v>44</v>
      </c>
      <c r="D2" s="79" t="s">
        <v>45</v>
      </c>
      <c r="E2" s="80" t="s">
        <v>46</v>
      </c>
      <c r="F2" s="72"/>
      <c r="G2" s="72"/>
      <c r="H2" s="73"/>
      <c r="I2" s="72"/>
      <c r="J2" s="72"/>
      <c r="K2" s="74"/>
    </row>
    <row r="3" spans="1:54" x14ac:dyDescent="0.3">
      <c r="A3" s="28" t="s">
        <v>47</v>
      </c>
      <c r="B3" s="45" t="s">
        <v>48</v>
      </c>
      <c r="D3" s="67" t="s">
        <v>49</v>
      </c>
      <c r="E3" s="68" t="s">
        <v>48</v>
      </c>
      <c r="F3" s="69" t="s">
        <v>50</v>
      </c>
      <c r="G3" s="62" t="s">
        <v>51</v>
      </c>
      <c r="H3" s="66"/>
      <c r="I3" s="62" t="s">
        <v>52</v>
      </c>
      <c r="J3" s="69" t="s">
        <v>50</v>
      </c>
      <c r="K3" s="64" t="s">
        <v>53</v>
      </c>
    </row>
    <row r="4" spans="1:54" x14ac:dyDescent="0.3">
      <c r="A4" s="28" t="s">
        <v>54</v>
      </c>
      <c r="B4" s="45" t="s">
        <v>55</v>
      </c>
      <c r="D4" s="67" t="s">
        <v>56</v>
      </c>
      <c r="E4" s="68" t="s">
        <v>57</v>
      </c>
      <c r="F4" s="69" t="s">
        <v>50</v>
      </c>
      <c r="G4" s="62" t="s">
        <v>58</v>
      </c>
      <c r="H4" s="66"/>
      <c r="I4" s="62"/>
      <c r="J4" s="62"/>
      <c r="K4" s="64"/>
    </row>
    <row r="5" spans="1:54" x14ac:dyDescent="0.3">
      <c r="A5" s="28" t="s">
        <v>59</v>
      </c>
      <c r="B5" s="45" t="s">
        <v>60</v>
      </c>
      <c r="D5" s="67" t="s">
        <v>61</v>
      </c>
      <c r="E5" s="70"/>
      <c r="F5" s="63"/>
      <c r="G5" s="63"/>
      <c r="H5" s="67"/>
      <c r="I5" s="63"/>
      <c r="J5" s="63"/>
      <c r="K5" s="65"/>
    </row>
    <row r="6" spans="1:54" x14ac:dyDescent="0.3">
      <c r="A6" s="28" t="s">
        <v>62</v>
      </c>
      <c r="B6" s="45" t="s">
        <v>63</v>
      </c>
      <c r="D6" s="67" t="s">
        <v>64</v>
      </c>
      <c r="E6" s="68" t="s">
        <v>63</v>
      </c>
      <c r="F6" s="69" t="s">
        <v>50</v>
      </c>
      <c r="G6" s="62" t="s">
        <v>65</v>
      </c>
      <c r="H6" s="67"/>
      <c r="I6" s="63"/>
      <c r="J6" s="63"/>
      <c r="K6" s="65"/>
    </row>
    <row r="7" spans="1:54" x14ac:dyDescent="0.3">
      <c r="A7" s="28" t="s">
        <v>66</v>
      </c>
      <c r="B7" s="45" t="s">
        <v>67</v>
      </c>
      <c r="D7" s="67" t="s">
        <v>68</v>
      </c>
      <c r="E7" s="68" t="s">
        <v>69</v>
      </c>
      <c r="F7" s="69" t="s">
        <v>50</v>
      </c>
      <c r="G7" s="62" t="s">
        <v>70</v>
      </c>
      <c r="H7" s="67"/>
      <c r="I7" s="63"/>
      <c r="J7" s="63"/>
      <c r="K7" s="65"/>
    </row>
    <row r="8" spans="1:54" x14ac:dyDescent="0.3">
      <c r="A8" s="28" t="s">
        <v>71</v>
      </c>
      <c r="B8" s="45" t="s">
        <v>72</v>
      </c>
      <c r="D8" s="67" t="s">
        <v>73</v>
      </c>
      <c r="E8" s="70"/>
      <c r="F8" s="63"/>
      <c r="G8" s="63"/>
      <c r="H8" s="67"/>
      <c r="I8" s="63"/>
      <c r="J8" s="63"/>
      <c r="K8" s="65"/>
      <c r="AT8" s="32" t="s">
        <v>47</v>
      </c>
      <c r="AU8" s="32" t="s">
        <v>54</v>
      </c>
      <c r="AV8" s="32" t="s">
        <v>59</v>
      </c>
      <c r="AW8" s="32" t="s">
        <v>62</v>
      </c>
      <c r="AX8" s="32" t="s">
        <v>66</v>
      </c>
      <c r="AY8" s="32" t="s">
        <v>71</v>
      </c>
      <c r="AZ8" s="32" t="s">
        <v>281</v>
      </c>
      <c r="BA8" s="32" t="s">
        <v>74</v>
      </c>
    </row>
    <row r="9" spans="1:54" x14ac:dyDescent="0.3">
      <c r="A9" s="28" t="s">
        <v>281</v>
      </c>
      <c r="B9" s="45" t="s">
        <v>282</v>
      </c>
      <c r="D9" s="67" t="s">
        <v>283</v>
      </c>
      <c r="E9" s="70" t="s">
        <v>282</v>
      </c>
      <c r="F9" s="63" t="s">
        <v>50</v>
      </c>
      <c r="G9" s="63" t="s">
        <v>284</v>
      </c>
      <c r="H9" s="67"/>
      <c r="I9" s="63"/>
      <c r="J9" s="63"/>
      <c r="K9" s="65"/>
      <c r="AT9" s="1" t="s">
        <v>48</v>
      </c>
      <c r="AU9" s="1" t="s">
        <v>82</v>
      </c>
      <c r="AV9" s="1" t="s">
        <v>60</v>
      </c>
      <c r="AW9" s="1" t="s">
        <v>63</v>
      </c>
      <c r="AX9" s="1" t="s">
        <v>67</v>
      </c>
      <c r="AY9" s="1" t="s">
        <v>72</v>
      </c>
      <c r="AZ9" s="1" t="s">
        <v>285</v>
      </c>
      <c r="BA9" s="1" t="s">
        <v>72</v>
      </c>
    </row>
    <row r="10" spans="1:54" x14ac:dyDescent="0.3">
      <c r="A10" s="28" t="s">
        <v>286</v>
      </c>
      <c r="B10" s="45" t="s">
        <v>82</v>
      </c>
      <c r="D10" s="67" t="s">
        <v>287</v>
      </c>
      <c r="E10" s="70"/>
      <c r="F10" s="63"/>
      <c r="G10" s="63"/>
      <c r="H10" s="67"/>
      <c r="I10" s="63"/>
      <c r="J10" s="63"/>
      <c r="K10" s="65"/>
      <c r="AT10" s="1" t="s">
        <v>52</v>
      </c>
      <c r="AU10" s="1" t="s">
        <v>55</v>
      </c>
      <c r="AV10" s="1" t="s">
        <v>83</v>
      </c>
      <c r="AW10" s="1" t="s">
        <v>84</v>
      </c>
      <c r="AX10" s="1" t="s">
        <v>69</v>
      </c>
      <c r="AY10" s="1" t="s">
        <v>76</v>
      </c>
      <c r="AZ10" s="1" t="s">
        <v>282</v>
      </c>
      <c r="BA10" s="1" t="s">
        <v>76</v>
      </c>
    </row>
    <row r="11" spans="1:54" x14ac:dyDescent="0.3">
      <c r="A11" s="28" t="s">
        <v>75</v>
      </c>
      <c r="B11" s="45" t="s">
        <v>76</v>
      </c>
      <c r="D11" s="67" t="s">
        <v>77</v>
      </c>
      <c r="E11" s="70" t="s">
        <v>78</v>
      </c>
      <c r="F11" s="63" t="s">
        <v>50</v>
      </c>
      <c r="G11" s="63" t="s">
        <v>79</v>
      </c>
      <c r="H11" s="67"/>
      <c r="I11" s="63" t="s">
        <v>80</v>
      </c>
      <c r="J11" s="63" t="s">
        <v>50</v>
      </c>
      <c r="K11" s="65" t="s">
        <v>81</v>
      </c>
      <c r="AU11" s="1" t="s">
        <v>85</v>
      </c>
      <c r="BA11" s="1" t="s">
        <v>78</v>
      </c>
    </row>
    <row r="12" spans="1:54" ht="16.2" thickBot="1" x14ac:dyDescent="0.35">
      <c r="A12" s="29" t="s">
        <v>335</v>
      </c>
      <c r="B12" s="39" t="s">
        <v>336</v>
      </c>
      <c r="D12" s="71" t="s">
        <v>337</v>
      </c>
      <c r="E12" s="75" t="s">
        <v>338</v>
      </c>
      <c r="F12" s="76" t="s">
        <v>50</v>
      </c>
      <c r="G12" s="77" t="s">
        <v>339</v>
      </c>
      <c r="H12" s="71"/>
      <c r="I12" s="78"/>
      <c r="J12" s="76"/>
      <c r="K12" s="77"/>
      <c r="AU12" s="1" t="s">
        <v>57</v>
      </c>
      <c r="BB12" s="1" t="s">
        <v>80</v>
      </c>
    </row>
  </sheetData>
  <dataValidations count="8">
    <dataValidation type="list" allowBlank="1" showInputMessage="1" showErrorMessage="1" sqref="B3" xr:uid="{9885FD96-A321-4BCD-9340-5D7728F46BD1}">
      <formula1>$AT$9:$AT$10</formula1>
    </dataValidation>
    <dataValidation type="list" allowBlank="1" showInputMessage="1" showErrorMessage="1" sqref="B4 B10" xr:uid="{3D60E376-94EE-4D7B-BA0C-AF5A29F960A4}">
      <formula1>$AU$9:$AU$12</formula1>
    </dataValidation>
    <dataValidation type="list" allowBlank="1" showInputMessage="1" showErrorMessage="1" sqref="B6" xr:uid="{E9E9F8B4-032A-4642-B330-91255BAB3283}">
      <formula1>$AW$9:$AW$10</formula1>
    </dataValidation>
    <dataValidation type="list" allowBlank="1" showInputMessage="1" showErrorMessage="1" sqref="B7" xr:uid="{029BDB2B-2FC8-46D9-A9B9-7B8CD194A8B5}">
      <formula1>$AX$9:$AX$10</formula1>
    </dataValidation>
    <dataValidation type="list" allowBlank="1" showInputMessage="1" showErrorMessage="1" sqref="B8" xr:uid="{CE060FB6-7778-41AE-A20D-DEE961B36F67}">
      <formula1>$AY$9:$AY$10</formula1>
    </dataValidation>
    <dataValidation type="list" allowBlank="1" showInputMessage="1" showErrorMessage="1" sqref="B5" xr:uid="{C327FD0A-8E5D-43BD-8436-6D750AD1CD88}">
      <formula1>$AV$9:$AV$10</formula1>
    </dataValidation>
    <dataValidation type="list" allowBlank="1" showInputMessage="1" showErrorMessage="1" sqref="B9" xr:uid="{21860834-9553-48DD-8890-27F41DF97128}">
      <formula1>$AZ$9:$AZ$10</formula1>
    </dataValidation>
    <dataValidation type="list" allowBlank="1" showInputMessage="1" showErrorMessage="1" sqref="B11" xr:uid="{7488D596-9D04-4ADF-A89A-FEAA7829F71D}">
      <formula1>$BA$9:$BA$12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6A8-5CE6-4878-A6D7-FB5DF8BDAFB4}">
  <sheetPr>
    <tabColor theme="9" tint="0.79998168889431442"/>
  </sheetPr>
  <dimension ref="A1:D15"/>
  <sheetViews>
    <sheetView workbookViewId="0">
      <selection activeCell="A13" sqref="A13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x14ac:dyDescent="0.3">
      <c r="A1" s="1" t="s">
        <v>86</v>
      </c>
    </row>
    <row r="2" spans="1:4" x14ac:dyDescent="0.3">
      <c r="A2" s="4" t="s">
        <v>87</v>
      </c>
    </row>
    <row r="3" spans="1:4" x14ac:dyDescent="0.3">
      <c r="A3" s="4" t="s">
        <v>88</v>
      </c>
      <c r="D3" s="12"/>
    </row>
    <row r="4" spans="1:4" x14ac:dyDescent="0.3">
      <c r="A4" s="4" t="s">
        <v>89</v>
      </c>
    </row>
    <row r="5" spans="1:4" x14ac:dyDescent="0.3">
      <c r="A5" s="4" t="s">
        <v>90</v>
      </c>
    </row>
    <row r="6" spans="1:4" x14ac:dyDescent="0.3">
      <c r="A6" s="4" t="s">
        <v>91</v>
      </c>
    </row>
    <row r="7" spans="1:4" x14ac:dyDescent="0.3">
      <c r="A7" s="4" t="s">
        <v>92</v>
      </c>
    </row>
    <row r="8" spans="1:4" x14ac:dyDescent="0.3">
      <c r="A8" s="4" t="s">
        <v>93</v>
      </c>
    </row>
    <row r="9" spans="1:4" x14ac:dyDescent="0.3">
      <c r="A9" s="4" t="s">
        <v>94</v>
      </c>
    </row>
    <row r="10" spans="1:4" x14ac:dyDescent="0.3">
      <c r="A10" s="4" t="s">
        <v>95</v>
      </c>
    </row>
    <row r="11" spans="1:4" x14ac:dyDescent="0.3">
      <c r="A11" s="4" t="s">
        <v>96</v>
      </c>
    </row>
    <row r="12" spans="1:4" x14ac:dyDescent="0.3">
      <c r="A12" s="4" t="s">
        <v>97</v>
      </c>
    </row>
    <row r="13" spans="1:4" x14ac:dyDescent="0.3">
      <c r="A13" s="4" t="s">
        <v>98</v>
      </c>
    </row>
    <row r="14" spans="1:4" x14ac:dyDescent="0.3">
      <c r="A14" s="4" t="s">
        <v>99</v>
      </c>
    </row>
    <row r="15" spans="1:4" x14ac:dyDescent="0.3">
      <c r="A15" s="4" t="s">
        <v>100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18E-3C30-49FC-B6A0-0A6D3F02EBB0}">
  <dimension ref="A1:O15"/>
  <sheetViews>
    <sheetView workbookViewId="0">
      <selection activeCell="A2" sqref="A2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15" x14ac:dyDescent="0.3">
      <c r="A1" s="1" t="s">
        <v>101</v>
      </c>
    </row>
    <row r="2" spans="1:15" x14ac:dyDescent="0.3">
      <c r="A2" s="4" t="s">
        <v>102</v>
      </c>
    </row>
    <row r="3" spans="1:15" x14ac:dyDescent="0.3">
      <c r="A3" s="4" t="s">
        <v>103</v>
      </c>
    </row>
    <row r="4" spans="1:15" x14ac:dyDescent="0.3">
      <c r="A4" s="4" t="s">
        <v>104</v>
      </c>
      <c r="D4" s="12"/>
    </row>
    <row r="5" spans="1:15" x14ac:dyDescent="0.3">
      <c r="A5" s="4" t="s">
        <v>105</v>
      </c>
      <c r="M5" s="13"/>
      <c r="N5" s="13"/>
      <c r="O5" s="13"/>
    </row>
    <row r="6" spans="1:15" x14ac:dyDescent="0.3">
      <c r="A6" s="4" t="s">
        <v>106</v>
      </c>
    </row>
    <row r="7" spans="1:15" x14ac:dyDescent="0.3">
      <c r="A7" s="4" t="s">
        <v>107</v>
      </c>
    </row>
    <row r="8" spans="1:15" x14ac:dyDescent="0.3">
      <c r="A8" s="4" t="s">
        <v>108</v>
      </c>
    </row>
    <row r="9" spans="1:15" x14ac:dyDescent="0.3">
      <c r="A9" s="4" t="s">
        <v>109</v>
      </c>
    </row>
    <row r="10" spans="1:15" x14ac:dyDescent="0.3">
      <c r="A10" s="4" t="s">
        <v>110</v>
      </c>
    </row>
    <row r="11" spans="1:15" x14ac:dyDescent="0.3">
      <c r="A11" s="4" t="s">
        <v>111</v>
      </c>
    </row>
    <row r="12" spans="1:15" x14ac:dyDescent="0.3">
      <c r="A12" s="4" t="s">
        <v>112</v>
      </c>
    </row>
    <row r="13" spans="1:15" x14ac:dyDescent="0.3">
      <c r="A13" s="4" t="s">
        <v>113</v>
      </c>
    </row>
    <row r="14" spans="1:15" x14ac:dyDescent="0.3">
      <c r="A14" s="4" t="s">
        <v>114</v>
      </c>
    </row>
    <row r="15" spans="1:15" x14ac:dyDescent="0.3">
      <c r="A15" s="4" t="s">
        <v>115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BC5-D620-4970-8035-9A1157B6300D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116</v>
      </c>
    </row>
    <row r="2" spans="1:16" x14ac:dyDescent="0.3">
      <c r="A2" s="4" t="s">
        <v>117</v>
      </c>
    </row>
    <row r="3" spans="1:16" x14ac:dyDescent="0.3">
      <c r="A3" s="4" t="s">
        <v>118</v>
      </c>
      <c r="N3" s="13"/>
      <c r="O3" s="13"/>
      <c r="P3" s="13"/>
    </row>
    <row r="4" spans="1:16" x14ac:dyDescent="0.3">
      <c r="A4" s="4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341-94DE-401B-89F3-66EA9EB6DBB9}">
  <sheetPr>
    <tabColor theme="9" tint="0.79998168889431442"/>
  </sheetPr>
  <dimension ref="A1:A6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4.44140625" style="1" customWidth="1"/>
    <col min="5" max="14" width="9.33203125" style="1"/>
    <col min="15" max="15" width="12.109375" style="1" customWidth="1"/>
    <col min="16" max="16" width="12.33203125" style="1" customWidth="1"/>
    <col min="17" max="17" width="4.5546875" style="1" customWidth="1"/>
    <col min="18" max="16384" width="9.33203125" style="1"/>
  </cols>
  <sheetData>
    <row r="1" spans="1:1" x14ac:dyDescent="0.3">
      <c r="A1" s="1" t="s">
        <v>120</v>
      </c>
    </row>
    <row r="2" spans="1:1" x14ac:dyDescent="0.3">
      <c r="A2" s="4" t="s">
        <v>121</v>
      </c>
    </row>
    <row r="3" spans="1:1" x14ac:dyDescent="0.3">
      <c r="A3" s="4" t="s">
        <v>122</v>
      </c>
    </row>
    <row r="4" spans="1:1" x14ac:dyDescent="0.3">
      <c r="A4" s="4" t="s">
        <v>123</v>
      </c>
    </row>
    <row r="5" spans="1:1" x14ac:dyDescent="0.3">
      <c r="A5" s="4" t="s">
        <v>124</v>
      </c>
    </row>
    <row r="6" spans="1:1" x14ac:dyDescent="0.3">
      <c r="A6" s="4" t="s">
        <v>125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F4F0-1521-4984-985F-ECB7FE3DE71E}">
  <sheetPr>
    <tabColor theme="9" tint="0.79998168889431442"/>
  </sheetPr>
  <dimension ref="A1:P3"/>
  <sheetViews>
    <sheetView workbookViewId="0">
      <selection activeCell="A5" sqref="A5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331</v>
      </c>
    </row>
    <row r="2" spans="1:16" x14ac:dyDescent="0.3">
      <c r="A2" s="4" t="s">
        <v>126</v>
      </c>
    </row>
    <row r="3" spans="1:16" x14ac:dyDescent="0.3">
      <c r="A3" s="4" t="s">
        <v>127</v>
      </c>
      <c r="N3" s="13"/>
      <c r="O3" s="13"/>
      <c r="P3" s="13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7C8E-9994-4CBB-9E95-BFA694CCBA32}">
  <sheetPr>
    <tabColor theme="9" tint="0.79998168889431442"/>
  </sheetPr>
  <dimension ref="A1:A2"/>
  <sheetViews>
    <sheetView workbookViewId="0">
      <selection activeCell="A4" sqref="A4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328</v>
      </c>
    </row>
    <row r="2" spans="1:1" x14ac:dyDescent="0.3">
      <c r="A2" s="4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B6E-132C-4A29-B5C0-8A8150524EC7}">
  <sheetPr>
    <tabColor theme="9" tint="0.79998168889431442"/>
  </sheetPr>
  <dimension ref="A1:A6"/>
  <sheetViews>
    <sheetView workbookViewId="0">
      <selection activeCell="A8" sqref="A8"/>
    </sheetView>
  </sheetViews>
  <sheetFormatPr defaultRowHeight="14.4" x14ac:dyDescent="0.3"/>
  <sheetData>
    <row r="1" spans="1:1" ht="15.6" x14ac:dyDescent="0.3">
      <c r="A1" s="1" t="s">
        <v>340</v>
      </c>
    </row>
    <row r="2" spans="1:1" ht="15.6" x14ac:dyDescent="0.3">
      <c r="A2" s="4" t="s">
        <v>341</v>
      </c>
    </row>
    <row r="3" spans="1:1" ht="15.6" x14ac:dyDescent="0.3">
      <c r="A3" s="4" t="s">
        <v>342</v>
      </c>
    </row>
    <row r="4" spans="1:1" ht="15.6" x14ac:dyDescent="0.3">
      <c r="A4" s="4" t="s">
        <v>343</v>
      </c>
    </row>
    <row r="5" spans="1:1" ht="15.6" x14ac:dyDescent="0.3">
      <c r="A5" s="4" t="s">
        <v>344</v>
      </c>
    </row>
    <row r="6" spans="1:1" ht="15.6" x14ac:dyDescent="0.3">
      <c r="A6" s="4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E5C-CD82-4DB8-A226-3E1C788BA0DC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128</v>
      </c>
    </row>
    <row r="2" spans="1:16" x14ac:dyDescent="0.3">
      <c r="A2" s="4" t="s">
        <v>129</v>
      </c>
    </row>
    <row r="3" spans="1:16" x14ac:dyDescent="0.3">
      <c r="A3" s="4" t="s">
        <v>130</v>
      </c>
      <c r="N3" s="13"/>
      <c r="O3" s="13"/>
      <c r="P3" s="13"/>
    </row>
    <row r="4" spans="1:16" x14ac:dyDescent="0.3">
      <c r="A4" s="4" t="s">
        <v>131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0FC-C70F-430B-9882-945A087A2D92}">
  <sheetPr>
    <tabColor theme="9" tint="0.79998168889431442"/>
  </sheetPr>
  <dimension ref="A1:P6"/>
  <sheetViews>
    <sheetView workbookViewId="0">
      <selection activeCell="A7" sqref="A7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133</v>
      </c>
      <c r="N2" s="13"/>
      <c r="O2" s="13"/>
      <c r="P2" s="13"/>
    </row>
    <row r="3" spans="1:16" x14ac:dyDescent="0.3">
      <c r="A3" s="4" t="s">
        <v>134</v>
      </c>
    </row>
    <row r="4" spans="1:16" x14ac:dyDescent="0.3">
      <c r="A4" s="4" t="s">
        <v>135</v>
      </c>
    </row>
    <row r="5" spans="1:16" x14ac:dyDescent="0.3">
      <c r="A5" s="4" t="s">
        <v>136</v>
      </c>
    </row>
    <row r="6" spans="1:16" x14ac:dyDescent="0.3">
      <c r="A6" s="12"/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0352-28DB-4692-BCE8-9A9846CC4956}">
  <sheetPr>
    <tabColor theme="9" tint="0.79998168889431442"/>
  </sheetPr>
  <dimension ref="A1:P6"/>
  <sheetViews>
    <sheetView workbookViewId="0">
      <selection activeCell="A2" sqref="A2:A6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137</v>
      </c>
    </row>
    <row r="3" spans="1:16" x14ac:dyDescent="0.3">
      <c r="A3" s="4" t="s">
        <v>138</v>
      </c>
      <c r="N3" s="13"/>
      <c r="O3" s="13"/>
      <c r="P3" s="13"/>
    </row>
    <row r="4" spans="1:16" x14ac:dyDescent="0.3">
      <c r="A4" s="4" t="s">
        <v>346</v>
      </c>
    </row>
    <row r="5" spans="1:16" x14ac:dyDescent="0.3">
      <c r="A5" s="4" t="s">
        <v>347</v>
      </c>
    </row>
    <row r="6" spans="1:16" x14ac:dyDescent="0.3">
      <c r="A6" s="4" t="s">
        <v>348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027-57F4-45A3-888B-4C0E11BBDC89}">
  <sheetPr>
    <tabColor theme="9" tint="0.79998168889431442"/>
  </sheetPr>
  <dimension ref="A1:P3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139</v>
      </c>
    </row>
    <row r="2" spans="1:16" x14ac:dyDescent="0.3">
      <c r="A2" s="4"/>
    </row>
    <row r="3" spans="1:16" x14ac:dyDescent="0.3">
      <c r="A3" s="12"/>
      <c r="N3" s="13"/>
      <c r="O3" s="13"/>
      <c r="P3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809-1347-42CB-A460-105FB2B000F6}">
  <sheetPr>
    <tabColor theme="9" tint="0.79998168889431442"/>
  </sheetPr>
  <dimension ref="A1:P30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140</v>
      </c>
    </row>
    <row r="2" spans="1:16" x14ac:dyDescent="0.3">
      <c r="A2" s="4" t="s">
        <v>141</v>
      </c>
    </row>
    <row r="3" spans="1:16" x14ac:dyDescent="0.3">
      <c r="A3" s="4" t="s">
        <v>142</v>
      </c>
      <c r="N3" s="13"/>
      <c r="O3" s="13"/>
      <c r="P3" s="13"/>
    </row>
    <row r="4" spans="1:16" x14ac:dyDescent="0.3">
      <c r="A4" s="4" t="s">
        <v>143</v>
      </c>
    </row>
    <row r="5" spans="1:16" x14ac:dyDescent="0.3">
      <c r="A5" s="4" t="s">
        <v>144</v>
      </c>
    </row>
    <row r="6" spans="1:16" x14ac:dyDescent="0.3">
      <c r="A6" s="4" t="s">
        <v>145</v>
      </c>
    </row>
    <row r="7" spans="1:16" x14ac:dyDescent="0.3">
      <c r="A7" s="4" t="s">
        <v>146</v>
      </c>
    </row>
    <row r="8" spans="1:16" x14ac:dyDescent="0.3">
      <c r="A8" s="4" t="s">
        <v>147</v>
      </c>
    </row>
    <row r="9" spans="1:16" x14ac:dyDescent="0.3">
      <c r="A9" s="4" t="s">
        <v>148</v>
      </c>
    </row>
    <row r="10" spans="1:16" x14ac:dyDescent="0.3">
      <c r="A10" s="4" t="s">
        <v>149</v>
      </c>
    </row>
    <row r="11" spans="1:16" x14ac:dyDescent="0.3">
      <c r="A11" s="4" t="s">
        <v>150</v>
      </c>
    </row>
    <row r="12" spans="1:16" x14ac:dyDescent="0.3">
      <c r="A12" s="4" t="s">
        <v>151</v>
      </c>
    </row>
    <row r="13" spans="1:16" x14ac:dyDescent="0.3">
      <c r="A13" s="4" t="s">
        <v>152</v>
      </c>
    </row>
    <row r="14" spans="1:16" x14ac:dyDescent="0.3">
      <c r="A14" s="4" t="s">
        <v>153</v>
      </c>
    </row>
    <row r="15" spans="1:16" x14ac:dyDescent="0.3">
      <c r="A15" s="4" t="s">
        <v>154</v>
      </c>
    </row>
    <row r="16" spans="1:16" x14ac:dyDescent="0.3">
      <c r="A16" s="4" t="s">
        <v>155</v>
      </c>
    </row>
    <row r="17" spans="1:1" x14ac:dyDescent="0.3">
      <c r="A17" s="4" t="s">
        <v>156</v>
      </c>
    </row>
    <row r="18" spans="1:1" x14ac:dyDescent="0.3">
      <c r="A18" s="4" t="s">
        <v>157</v>
      </c>
    </row>
    <row r="19" spans="1:1" x14ac:dyDescent="0.3">
      <c r="A19" s="4" t="s">
        <v>158</v>
      </c>
    </row>
    <row r="20" spans="1:1" x14ac:dyDescent="0.3">
      <c r="A20" s="4" t="s">
        <v>159</v>
      </c>
    </row>
    <row r="21" spans="1:1" x14ac:dyDescent="0.3">
      <c r="A21" s="4" t="s">
        <v>160</v>
      </c>
    </row>
    <row r="22" spans="1:1" x14ac:dyDescent="0.3">
      <c r="A22" s="4" t="s">
        <v>161</v>
      </c>
    </row>
    <row r="23" spans="1:1" x14ac:dyDescent="0.3">
      <c r="A23" s="4" t="s">
        <v>162</v>
      </c>
    </row>
    <row r="24" spans="1:1" x14ac:dyDescent="0.3">
      <c r="A24" s="4" t="s">
        <v>163</v>
      </c>
    </row>
    <row r="25" spans="1:1" x14ac:dyDescent="0.3">
      <c r="A25" s="4" t="s">
        <v>164</v>
      </c>
    </row>
    <row r="26" spans="1:1" x14ac:dyDescent="0.3">
      <c r="A26" s="4" t="s">
        <v>165</v>
      </c>
    </row>
    <row r="27" spans="1:1" x14ac:dyDescent="0.3">
      <c r="A27" s="4" t="s">
        <v>166</v>
      </c>
    </row>
    <row r="28" spans="1:1" x14ac:dyDescent="0.3">
      <c r="A28" s="4" t="s">
        <v>167</v>
      </c>
    </row>
    <row r="29" spans="1:1" x14ac:dyDescent="0.3">
      <c r="A29" s="4" t="s">
        <v>168</v>
      </c>
    </row>
    <row r="30" spans="1:1" x14ac:dyDescent="0.3">
      <c r="A30" s="12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52A-57D4-400C-9B2D-0CDF39E9349F}">
  <sheetPr>
    <tabColor theme="9" tint="0.79998168889431442"/>
  </sheetPr>
  <dimension ref="A1:A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" x14ac:dyDescent="0.3">
      <c r="A1" s="1" t="s">
        <v>169</v>
      </c>
    </row>
    <row r="2" spans="1:1" x14ac:dyDescent="0.3">
      <c r="A2" s="4" t="s">
        <v>170</v>
      </c>
    </row>
    <row r="3" spans="1:1" x14ac:dyDescent="0.3">
      <c r="A3" s="4" t="s">
        <v>171</v>
      </c>
    </row>
    <row r="4" spans="1:1" x14ac:dyDescent="0.3">
      <c r="A4" s="4" t="s">
        <v>172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DC6-FF6C-4D1F-9E23-B1795807F580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173</v>
      </c>
    </row>
    <row r="2" spans="1:16" x14ac:dyDescent="0.3">
      <c r="A2" s="4" t="s">
        <v>174</v>
      </c>
    </row>
    <row r="3" spans="1:16" x14ac:dyDescent="0.3">
      <c r="A3" s="4" t="s">
        <v>175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46C-6D5B-41D2-BD66-0AABE8C35A83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176</v>
      </c>
    </row>
    <row r="2" spans="1:16" x14ac:dyDescent="0.3">
      <c r="A2" s="4" t="s">
        <v>177</v>
      </c>
    </row>
    <row r="3" spans="1:16" x14ac:dyDescent="0.3">
      <c r="A3" s="4" t="s">
        <v>178</v>
      </c>
      <c r="N3" s="13"/>
      <c r="O3" s="13"/>
      <c r="P3" s="13"/>
    </row>
    <row r="4" spans="1:16" x14ac:dyDescent="0.3">
      <c r="A4" s="4" t="s">
        <v>179</v>
      </c>
    </row>
    <row r="5" spans="1:16" x14ac:dyDescent="0.3">
      <c r="A5" s="4" t="s">
        <v>180</v>
      </c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F25-02B9-4EAE-A04E-51FF0E4ADDCA}">
  <sheetPr>
    <tabColor theme="9" tint="0.79998168889431442"/>
  </sheetPr>
  <dimension ref="A1:P7"/>
  <sheetViews>
    <sheetView workbookViewId="0">
      <selection activeCell="E31" sqref="E31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181</v>
      </c>
    </row>
    <row r="2" spans="1:16" x14ac:dyDescent="0.3">
      <c r="A2" s="4" t="s">
        <v>182</v>
      </c>
    </row>
    <row r="3" spans="1:16" x14ac:dyDescent="0.3">
      <c r="A3" s="4" t="s">
        <v>183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E56A-3552-4283-86E6-D2B76E77A8C0}">
  <sheetPr>
    <tabColor theme="9" tint="0.79998168889431442"/>
  </sheetPr>
  <dimension ref="A1:AD1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30" ht="16.2" thickBot="1" x14ac:dyDescent="0.35">
      <c r="A1" s="1" t="s">
        <v>184</v>
      </c>
    </row>
    <row r="2" spans="1:30" s="8" customFormat="1" x14ac:dyDescent="0.3">
      <c r="A2" s="6" t="s">
        <v>185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87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88</v>
      </c>
      <c r="B4" s="9"/>
      <c r="C4" s="9"/>
      <c r="D4" s="9"/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89</v>
      </c>
      <c r="B5" s="9"/>
      <c r="C5" s="9"/>
      <c r="D5" s="9"/>
      <c r="E5" s="9"/>
      <c r="F5" s="9"/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</v>
      </c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s="8" customFormat="1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</row>
    <row r="9" spans="1:30" s="8" customFormat="1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</row>
    <row r="10" spans="1:30" s="8" customFormat="1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</v>
      </c>
      <c r="T10" s="9"/>
      <c r="U10" s="9"/>
      <c r="V10" s="9"/>
      <c r="W10" s="9"/>
      <c r="X10" s="9"/>
      <c r="Y10" s="9"/>
      <c r="Z10" s="9"/>
      <c r="AA10" s="9"/>
      <c r="AB10" s="9"/>
      <c r="AC10" s="31"/>
    </row>
    <row r="11" spans="1:30" s="8" customFormat="1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</v>
      </c>
      <c r="W11" s="9"/>
      <c r="X11" s="9"/>
      <c r="Y11" s="9"/>
      <c r="Z11" s="9"/>
      <c r="AA11" s="9"/>
      <c r="AB11" s="9"/>
      <c r="AC11" s="31"/>
    </row>
    <row r="12" spans="1:30" s="8" customFormat="1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</v>
      </c>
      <c r="U12" s="9"/>
      <c r="V12" s="9"/>
      <c r="W12" s="9"/>
      <c r="X12" s="9"/>
      <c r="Y12" s="9"/>
      <c r="Z12" s="9"/>
      <c r="AA12" s="9"/>
      <c r="AB12" s="9"/>
      <c r="AC12" s="31"/>
    </row>
    <row r="13" spans="1:30" s="8" customFormat="1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</v>
      </c>
      <c r="AA13" s="9"/>
      <c r="AB13" s="9"/>
      <c r="AC13" s="31"/>
    </row>
    <row r="14" spans="1:30" s="8" customFormat="1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</v>
      </c>
      <c r="AC14" s="31"/>
    </row>
    <row r="15" spans="1:30" s="8" customFormat="1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</v>
      </c>
      <c r="AC15" s="31"/>
    </row>
    <row r="16" spans="1:30" ht="16.2" thickBot="1" x14ac:dyDescent="0.35">
      <c r="A16" s="29" t="s">
        <v>100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1"/>
      <c r="AD16" s="8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C57-024F-431A-B1C2-58810C4F9E47}">
  <sheetPr>
    <tabColor theme="9" tint="0.79998168889431442"/>
  </sheetPr>
  <dimension ref="A1:AD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16384" width="9.33203125" style="1"/>
  </cols>
  <sheetData>
    <row r="1" spans="1:30" ht="16.2" thickBot="1" x14ac:dyDescent="0.35">
      <c r="A1" s="1" t="s">
        <v>186</v>
      </c>
    </row>
    <row r="2" spans="1:30" s="8" customFormat="1" x14ac:dyDescent="0.3">
      <c r="A2" s="6" t="s">
        <v>187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117</v>
      </c>
      <c r="B3" s="9"/>
      <c r="C3" s="9"/>
      <c r="D3" s="9"/>
      <c r="E3" s="9"/>
      <c r="F3" s="9"/>
      <c r="G3" s="9"/>
      <c r="H3" s="9"/>
      <c r="I3" s="9">
        <v>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2"/>
      <c r="AA3" s="32"/>
      <c r="AB3" s="32"/>
      <c r="AC3" s="34"/>
      <c r="AD3" s="13"/>
    </row>
    <row r="4" spans="1:30" s="8" customFormat="1" x14ac:dyDescent="0.3">
      <c r="A4" s="28" t="s">
        <v>118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v>1</v>
      </c>
      <c r="S4" s="9"/>
      <c r="T4" s="9"/>
      <c r="U4" s="9"/>
      <c r="V4" s="9"/>
      <c r="W4" s="9"/>
      <c r="X4" s="9"/>
      <c r="Y4" s="9"/>
      <c r="Z4" s="32"/>
      <c r="AA4" s="32"/>
      <c r="AB4" s="32"/>
      <c r="AC4" s="34"/>
      <c r="AD4" s="13"/>
    </row>
    <row r="5" spans="1:30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33"/>
      <c r="AA5" s="33"/>
      <c r="AB5" s="33"/>
      <c r="AC5" s="35"/>
      <c r="AD5" s="13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0C-760C-4F1B-AB9A-B14851122200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44140625" style="1" customWidth="1"/>
    <col min="2" max="16384" width="9.33203125" style="1"/>
  </cols>
  <sheetData>
    <row r="1" spans="1:4" ht="16.2" thickBot="1" x14ac:dyDescent="0.35">
      <c r="A1" s="1" t="s">
        <v>188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117</v>
      </c>
      <c r="B3" s="9"/>
      <c r="C3" s="9"/>
      <c r="D3" s="31"/>
    </row>
    <row r="4" spans="1:4" x14ac:dyDescent="0.3">
      <c r="A4" s="28" t="s">
        <v>118</v>
      </c>
      <c r="B4" s="9"/>
      <c r="C4" s="9"/>
      <c r="D4" s="31"/>
    </row>
    <row r="5" spans="1:4" ht="16.2" thickBot="1" x14ac:dyDescent="0.35">
      <c r="A5" s="29" t="s">
        <v>119</v>
      </c>
      <c r="B5" s="10"/>
      <c r="C5" s="10"/>
      <c r="D5" s="1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EB22-0DA7-4F9B-9913-FB50F464ABD0}">
  <sheetPr>
    <tabColor theme="9" tint="0.79998168889431442"/>
  </sheetPr>
  <dimension ref="A1:AD31"/>
  <sheetViews>
    <sheetView zoomScaleNormal="100" workbookViewId="0">
      <selection activeCell="A13" sqref="A13"/>
    </sheetView>
  </sheetViews>
  <sheetFormatPr defaultColWidth="9.33203125" defaultRowHeight="15.6" x14ac:dyDescent="0.3"/>
  <cols>
    <col min="1" max="1" width="15.33203125" style="1" customWidth="1"/>
    <col min="2" max="16384" width="9.33203125" style="1"/>
  </cols>
  <sheetData>
    <row r="1" spans="1:30" ht="16.2" thickBot="1" x14ac:dyDescent="0.35">
      <c r="A1" s="1" t="s">
        <v>189</v>
      </c>
    </row>
    <row r="2" spans="1:30" s="8" customFormat="1" x14ac:dyDescent="0.3">
      <c r="A2" s="6" t="s">
        <v>190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141</v>
      </c>
      <c r="B3" s="9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142</v>
      </c>
      <c r="B4" s="9">
        <v>1</v>
      </c>
      <c r="C4" s="9"/>
      <c r="D4" s="9">
        <v>1</v>
      </c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143</v>
      </c>
      <c r="B5" s="9"/>
      <c r="C5" s="9">
        <v>1</v>
      </c>
      <c r="D5" s="9"/>
      <c r="E5" s="9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144</v>
      </c>
      <c r="B6" s="9"/>
      <c r="C6" s="9"/>
      <c r="D6" s="9">
        <v>1</v>
      </c>
      <c r="E6" s="9"/>
      <c r="F6" s="9"/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145</v>
      </c>
      <c r="B7" s="9"/>
      <c r="C7" s="9">
        <v>1</v>
      </c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x14ac:dyDescent="0.3">
      <c r="A8" s="28" t="s">
        <v>146</v>
      </c>
      <c r="B8" s="9"/>
      <c r="C8" s="9"/>
      <c r="D8" s="9"/>
      <c r="E8" s="9">
        <v>1</v>
      </c>
      <c r="F8" s="9"/>
      <c r="G8" s="9"/>
      <c r="H8" s="9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  <c r="AD8" s="8"/>
    </row>
    <row r="9" spans="1:30" ht="15" customHeight="1" x14ac:dyDescent="0.3">
      <c r="A9" s="28" t="s">
        <v>147</v>
      </c>
      <c r="B9" s="9"/>
      <c r="C9" s="9"/>
      <c r="D9" s="9"/>
      <c r="E9" s="9"/>
      <c r="F9" s="9"/>
      <c r="G9" s="9">
        <v>1</v>
      </c>
      <c r="H9" s="9"/>
      <c r="I9" s="9">
        <v>1</v>
      </c>
      <c r="J9" s="9">
        <v>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  <c r="AD9" s="8"/>
    </row>
    <row r="10" spans="1:30" x14ac:dyDescent="0.3">
      <c r="A10" s="28" t="s">
        <v>148</v>
      </c>
      <c r="B10" s="9"/>
      <c r="C10" s="9"/>
      <c r="D10" s="9"/>
      <c r="E10" s="9"/>
      <c r="F10" s="9">
        <v>1</v>
      </c>
      <c r="G10" s="9"/>
      <c r="H10" s="9">
        <v>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1"/>
      <c r="AD10" s="8"/>
    </row>
    <row r="11" spans="1:30" x14ac:dyDescent="0.3">
      <c r="A11" s="28" t="s">
        <v>149</v>
      </c>
      <c r="B11" s="9"/>
      <c r="C11" s="9"/>
      <c r="D11" s="9"/>
      <c r="E11" s="9"/>
      <c r="F11" s="9"/>
      <c r="G11" s="9"/>
      <c r="H11" s="9">
        <v>1</v>
      </c>
      <c r="I11" s="9"/>
      <c r="J11" s="9"/>
      <c r="K11" s="9">
        <v>1</v>
      </c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1"/>
      <c r="AD11" s="8"/>
    </row>
    <row r="12" spans="1:30" x14ac:dyDescent="0.3">
      <c r="A12" s="28" t="s">
        <v>150</v>
      </c>
      <c r="B12" s="9"/>
      <c r="C12" s="9"/>
      <c r="D12" s="9"/>
      <c r="E12" s="9"/>
      <c r="F12" s="9"/>
      <c r="G12" s="9"/>
      <c r="H12" s="9"/>
      <c r="I12" s="9"/>
      <c r="J12" s="9">
        <v>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1"/>
      <c r="AD12" s="8"/>
    </row>
    <row r="13" spans="1:30" x14ac:dyDescent="0.3">
      <c r="A13" s="28" t="s">
        <v>151</v>
      </c>
      <c r="B13" s="9"/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/>
      <c r="N13" s="9">
        <v>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1"/>
      <c r="AD13" s="8"/>
    </row>
    <row r="14" spans="1:30" x14ac:dyDescent="0.3">
      <c r="A14" s="28" t="s">
        <v>152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1"/>
      <c r="AD14" s="8"/>
    </row>
    <row r="15" spans="1:30" x14ac:dyDescent="0.3">
      <c r="A15" s="28" t="s">
        <v>153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>
        <v>1</v>
      </c>
      <c r="M15" s="9"/>
      <c r="N15" s="9"/>
      <c r="O15" s="9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1"/>
      <c r="AD15" s="8"/>
    </row>
    <row r="16" spans="1:30" x14ac:dyDescent="0.3">
      <c r="A16" s="28" t="s">
        <v>154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1</v>
      </c>
      <c r="N16" s="9">
        <v>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1">
        <v>1</v>
      </c>
      <c r="AD16" s="8"/>
    </row>
    <row r="17" spans="1:30" x14ac:dyDescent="0.3">
      <c r="A17" s="28" t="s">
        <v>155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1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1">
        <v>1</v>
      </c>
      <c r="AD17" s="8"/>
    </row>
    <row r="18" spans="1:30" x14ac:dyDescent="0.3">
      <c r="A18" s="28" t="s">
        <v>156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>
        <v>1</v>
      </c>
      <c r="Q18" s="9"/>
      <c r="R18" s="9">
        <v>1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31"/>
      <c r="AD18" s="8"/>
    </row>
    <row r="19" spans="1:30" x14ac:dyDescent="0.3">
      <c r="A19" s="28" t="s">
        <v>157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v>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1"/>
      <c r="AD19" s="8"/>
    </row>
    <row r="20" spans="1:30" x14ac:dyDescent="0.3">
      <c r="A20" s="28" t="s">
        <v>158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1</v>
      </c>
      <c r="U20" s="9"/>
      <c r="V20" s="9"/>
      <c r="W20" s="9"/>
      <c r="X20" s="9"/>
      <c r="Y20" s="9"/>
      <c r="Z20" s="9"/>
      <c r="AA20" s="9"/>
      <c r="AB20" s="9"/>
      <c r="AC20" s="31"/>
      <c r="AD20" s="8"/>
    </row>
    <row r="21" spans="1:30" x14ac:dyDescent="0.3">
      <c r="A21" s="28" t="s">
        <v>159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1</v>
      </c>
      <c r="T21" s="9"/>
      <c r="U21" s="9"/>
      <c r="V21" s="9"/>
      <c r="W21" s="9">
        <v>1</v>
      </c>
      <c r="X21" s="9"/>
      <c r="Y21" s="9"/>
      <c r="Z21" s="9"/>
      <c r="AA21" s="9"/>
      <c r="AB21" s="9"/>
      <c r="AC21" s="31"/>
      <c r="AD21" s="8"/>
    </row>
    <row r="22" spans="1:30" x14ac:dyDescent="0.3">
      <c r="A22" s="28" t="s">
        <v>160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>
        <v>1</v>
      </c>
      <c r="W22" s="9"/>
      <c r="X22" s="9"/>
      <c r="Y22" s="9"/>
      <c r="Z22" s="9"/>
      <c r="AA22" s="9"/>
      <c r="AB22" s="9"/>
      <c r="AC22" s="31">
        <v>1</v>
      </c>
      <c r="AD22" s="8"/>
    </row>
    <row r="23" spans="1:30" x14ac:dyDescent="0.3">
      <c r="A23" s="28" t="s">
        <v>161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>
        <v>1</v>
      </c>
      <c r="V23" s="9"/>
      <c r="W23" s="9">
        <v>1</v>
      </c>
      <c r="X23" s="9"/>
      <c r="Y23" s="9"/>
      <c r="Z23" s="9"/>
      <c r="AA23" s="9"/>
      <c r="AB23" s="9"/>
      <c r="AC23" s="31"/>
      <c r="AD23" s="8"/>
    </row>
    <row r="24" spans="1:30" x14ac:dyDescent="0.3">
      <c r="A24" s="28" t="s">
        <v>162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>
        <v>1</v>
      </c>
      <c r="U24" s="9"/>
      <c r="V24" s="9">
        <v>1</v>
      </c>
      <c r="W24" s="9"/>
      <c r="X24" s="9">
        <v>1</v>
      </c>
      <c r="Y24" s="9"/>
      <c r="Z24" s="9"/>
      <c r="AA24" s="9"/>
      <c r="AB24" s="9"/>
      <c r="AC24" s="31"/>
      <c r="AD24" s="8"/>
    </row>
    <row r="25" spans="1:30" x14ac:dyDescent="0.3">
      <c r="A25" s="28" t="s">
        <v>163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</v>
      </c>
      <c r="X25" s="9"/>
      <c r="Y25" s="9">
        <v>1</v>
      </c>
      <c r="Z25" s="9"/>
      <c r="AA25" s="9"/>
      <c r="AB25" s="9"/>
      <c r="AC25" s="31"/>
      <c r="AD25" s="8"/>
    </row>
    <row r="26" spans="1:30" x14ac:dyDescent="0.3">
      <c r="A26" s="28" t="s">
        <v>164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>
        <v>1</v>
      </c>
      <c r="Y26" s="9"/>
      <c r="Z26" s="9">
        <v>1</v>
      </c>
      <c r="AA26" s="9"/>
      <c r="AB26" s="9"/>
      <c r="AC26" s="31"/>
      <c r="AD26" s="8"/>
    </row>
    <row r="27" spans="1:30" x14ac:dyDescent="0.3">
      <c r="A27" s="28" t="s">
        <v>165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</v>
      </c>
      <c r="Z27" s="9"/>
      <c r="AA27" s="9">
        <v>1</v>
      </c>
      <c r="AB27" s="9"/>
      <c r="AC27" s="31"/>
      <c r="AD27" s="8"/>
    </row>
    <row r="28" spans="1:30" x14ac:dyDescent="0.3">
      <c r="A28" s="28" t="s">
        <v>166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>
        <v>1</v>
      </c>
      <c r="AA28" s="9"/>
      <c r="AB28" s="9">
        <v>1</v>
      </c>
      <c r="AC28" s="31"/>
      <c r="AD28" s="8"/>
    </row>
    <row r="29" spans="1:30" x14ac:dyDescent="0.3">
      <c r="A29" s="28" t="s">
        <v>167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1</v>
      </c>
      <c r="AB29" s="9"/>
      <c r="AC29" s="31"/>
      <c r="AD29" s="8"/>
    </row>
    <row r="30" spans="1:30" ht="16.2" thickBot="1" x14ac:dyDescent="0.35">
      <c r="A30" s="29" t="s">
        <v>168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>
        <v>1</v>
      </c>
      <c r="Q30" s="10"/>
      <c r="R30" s="10"/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1"/>
      <c r="AD30" s="8"/>
    </row>
    <row r="31" spans="1:30" x14ac:dyDescent="0.3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6BC-0D9E-4EC2-B7DF-9077076036FD}">
  <sheetPr>
    <tabColor theme="9" tint="0.79998168889431442"/>
  </sheetPr>
  <dimension ref="A1:D31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4" ht="16.2" thickBot="1" x14ac:dyDescent="0.35">
      <c r="A1" s="1" t="s">
        <v>191</v>
      </c>
    </row>
    <row r="2" spans="1:4" s="8" customFormat="1" x14ac:dyDescent="0.3">
      <c r="A2" s="6" t="s">
        <v>190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141</v>
      </c>
      <c r="B3" s="9"/>
      <c r="C3" s="9"/>
      <c r="D3" s="31"/>
    </row>
    <row r="4" spans="1:4" x14ac:dyDescent="0.3">
      <c r="A4" s="28" t="s">
        <v>142</v>
      </c>
      <c r="B4" s="9"/>
      <c r="C4" s="9"/>
      <c r="D4" s="31"/>
    </row>
    <row r="5" spans="1:4" x14ac:dyDescent="0.3">
      <c r="A5" s="28" t="s">
        <v>143</v>
      </c>
      <c r="B5" s="9"/>
      <c r="C5" s="9"/>
      <c r="D5" s="31"/>
    </row>
    <row r="6" spans="1:4" x14ac:dyDescent="0.3">
      <c r="A6" s="28" t="s">
        <v>144</v>
      </c>
      <c r="B6" s="9"/>
      <c r="C6" s="9"/>
      <c r="D6" s="31"/>
    </row>
    <row r="7" spans="1:4" x14ac:dyDescent="0.3">
      <c r="A7" s="28" t="s">
        <v>145</v>
      </c>
      <c r="B7" s="9"/>
      <c r="C7" s="9"/>
      <c r="D7" s="31"/>
    </row>
    <row r="8" spans="1:4" x14ac:dyDescent="0.3">
      <c r="A8" s="28" t="s">
        <v>146</v>
      </c>
      <c r="B8" s="9"/>
      <c r="C8" s="9"/>
      <c r="D8" s="31"/>
    </row>
    <row r="9" spans="1:4" x14ac:dyDescent="0.3">
      <c r="A9" s="28" t="s">
        <v>147</v>
      </c>
      <c r="B9" s="9"/>
      <c r="C9" s="9"/>
      <c r="D9" s="31"/>
    </row>
    <row r="10" spans="1:4" x14ac:dyDescent="0.3">
      <c r="A10" s="28" t="s">
        <v>148</v>
      </c>
      <c r="B10" s="9"/>
      <c r="C10" s="9"/>
      <c r="D10" s="31"/>
    </row>
    <row r="11" spans="1:4" x14ac:dyDescent="0.3">
      <c r="A11" s="28" t="s">
        <v>149</v>
      </c>
      <c r="B11" s="9"/>
      <c r="C11" s="9"/>
      <c r="D11" s="31"/>
    </row>
    <row r="12" spans="1:4" x14ac:dyDescent="0.3">
      <c r="A12" s="28" t="s">
        <v>150</v>
      </c>
      <c r="B12" s="9"/>
      <c r="C12" s="9"/>
      <c r="D12" s="31"/>
    </row>
    <row r="13" spans="1:4" x14ac:dyDescent="0.3">
      <c r="A13" s="28" t="s">
        <v>151</v>
      </c>
      <c r="B13" s="9"/>
      <c r="C13" s="9"/>
      <c r="D13" s="31"/>
    </row>
    <row r="14" spans="1:4" x14ac:dyDescent="0.3">
      <c r="A14" s="28" t="s">
        <v>152</v>
      </c>
      <c r="B14" s="9"/>
      <c r="C14" s="9"/>
      <c r="D14" s="31"/>
    </row>
    <row r="15" spans="1:4" x14ac:dyDescent="0.3">
      <c r="A15" s="28" t="s">
        <v>153</v>
      </c>
      <c r="B15" s="9"/>
      <c r="C15" s="9"/>
      <c r="D15" s="31"/>
    </row>
    <row r="16" spans="1:4" x14ac:dyDescent="0.3">
      <c r="A16" s="28" t="s">
        <v>154</v>
      </c>
      <c r="B16" s="9"/>
      <c r="C16" s="9"/>
      <c r="D16" s="31"/>
    </row>
    <row r="17" spans="1:4" x14ac:dyDescent="0.3">
      <c r="A17" s="28" t="s">
        <v>155</v>
      </c>
      <c r="B17" s="9"/>
      <c r="C17" s="9"/>
      <c r="D17" s="31"/>
    </row>
    <row r="18" spans="1:4" x14ac:dyDescent="0.3">
      <c r="A18" s="28" t="s">
        <v>156</v>
      </c>
      <c r="B18" s="9"/>
      <c r="C18" s="9"/>
      <c r="D18" s="31"/>
    </row>
    <row r="19" spans="1:4" x14ac:dyDescent="0.3">
      <c r="A19" s="28" t="s">
        <v>157</v>
      </c>
      <c r="B19" s="9"/>
      <c r="C19" s="9"/>
      <c r="D19" s="31"/>
    </row>
    <row r="20" spans="1:4" x14ac:dyDescent="0.3">
      <c r="A20" s="28" t="s">
        <v>158</v>
      </c>
      <c r="B20" s="9"/>
      <c r="C20" s="9"/>
      <c r="D20" s="31"/>
    </row>
    <row r="21" spans="1:4" x14ac:dyDescent="0.3">
      <c r="A21" s="28" t="s">
        <v>159</v>
      </c>
      <c r="B21" s="9"/>
      <c r="C21" s="9"/>
      <c r="D21" s="31"/>
    </row>
    <row r="22" spans="1:4" x14ac:dyDescent="0.3">
      <c r="A22" s="28" t="s">
        <v>160</v>
      </c>
      <c r="B22" s="9"/>
      <c r="C22" s="9"/>
      <c r="D22" s="31"/>
    </row>
    <row r="23" spans="1:4" x14ac:dyDescent="0.3">
      <c r="A23" s="28" t="s">
        <v>161</v>
      </c>
      <c r="B23" s="9"/>
      <c r="C23" s="9"/>
      <c r="D23" s="31"/>
    </row>
    <row r="24" spans="1:4" x14ac:dyDescent="0.3">
      <c r="A24" s="28" t="s">
        <v>162</v>
      </c>
      <c r="B24" s="9"/>
      <c r="C24" s="9"/>
      <c r="D24" s="31"/>
    </row>
    <row r="25" spans="1:4" x14ac:dyDescent="0.3">
      <c r="A25" s="28" t="s">
        <v>163</v>
      </c>
      <c r="B25" s="9"/>
      <c r="C25" s="9"/>
      <c r="D25" s="31"/>
    </row>
    <row r="26" spans="1:4" x14ac:dyDescent="0.3">
      <c r="A26" s="28" t="s">
        <v>164</v>
      </c>
      <c r="B26" s="9"/>
      <c r="C26" s="9"/>
      <c r="D26" s="31"/>
    </row>
    <row r="27" spans="1:4" x14ac:dyDescent="0.3">
      <c r="A27" s="28" t="s">
        <v>165</v>
      </c>
      <c r="B27" s="9"/>
      <c r="C27" s="9"/>
      <c r="D27" s="31"/>
    </row>
    <row r="28" spans="1:4" x14ac:dyDescent="0.3">
      <c r="A28" s="28" t="s">
        <v>166</v>
      </c>
      <c r="B28" s="9"/>
      <c r="C28" s="9"/>
      <c r="D28" s="31"/>
    </row>
    <row r="29" spans="1:4" x14ac:dyDescent="0.3">
      <c r="A29" s="28" t="s">
        <v>167</v>
      </c>
      <c r="B29" s="9"/>
      <c r="C29" s="9"/>
      <c r="D29" s="31"/>
    </row>
    <row r="30" spans="1:4" ht="16.2" thickBot="1" x14ac:dyDescent="0.35">
      <c r="A30" s="29" t="s">
        <v>168</v>
      </c>
      <c r="B30" s="10"/>
      <c r="C30" s="10"/>
      <c r="D30" s="11"/>
    </row>
    <row r="31" spans="1:4" x14ac:dyDescent="0.3">
      <c r="A31" s="13"/>
      <c r="B31" s="8"/>
      <c r="C31" s="8"/>
      <c r="D31" s="8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A77C-3EC6-43F3-933A-7BFD421AB782}">
  <sheetPr>
    <tabColor theme="9" tint="0.79998168889431442"/>
  </sheetPr>
  <dimension ref="A1:F31"/>
  <sheetViews>
    <sheetView workbookViewId="0">
      <selection activeCell="A13" sqref="A13"/>
    </sheetView>
  </sheetViews>
  <sheetFormatPr defaultColWidth="9.33203125" defaultRowHeight="15.6" x14ac:dyDescent="0.3"/>
  <cols>
    <col min="1" max="1" width="14.6640625" style="1" customWidth="1"/>
    <col min="2" max="16384" width="9.33203125" style="1"/>
  </cols>
  <sheetData>
    <row r="1" spans="1:6" ht="16.2" thickBot="1" x14ac:dyDescent="0.35">
      <c r="A1" s="1" t="s">
        <v>192</v>
      </c>
    </row>
    <row r="2" spans="1:6" s="8" customFormat="1" x14ac:dyDescent="0.3">
      <c r="A2" s="6" t="s">
        <v>190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8" t="s">
        <v>141</v>
      </c>
      <c r="B3" s="9">
        <v>1</v>
      </c>
      <c r="C3" s="9"/>
      <c r="D3" s="9"/>
      <c r="E3" s="9"/>
      <c r="F3" s="31"/>
    </row>
    <row r="4" spans="1:6" x14ac:dyDescent="0.3">
      <c r="A4" s="28" t="s">
        <v>142</v>
      </c>
      <c r="B4" s="9"/>
      <c r="C4" s="9"/>
      <c r="D4" s="9"/>
      <c r="E4" s="9"/>
      <c r="F4" s="31"/>
    </row>
    <row r="5" spans="1:6" x14ac:dyDescent="0.3">
      <c r="A5" s="28" t="s">
        <v>143</v>
      </c>
      <c r="B5" s="9"/>
      <c r="C5" s="9"/>
      <c r="D5" s="9"/>
      <c r="E5" s="9"/>
      <c r="F5" s="31"/>
    </row>
    <row r="6" spans="1:6" x14ac:dyDescent="0.3">
      <c r="A6" s="28" t="s">
        <v>144</v>
      </c>
      <c r="B6" s="9"/>
      <c r="C6" s="9">
        <v>1</v>
      </c>
      <c r="D6" s="9"/>
      <c r="E6" s="9"/>
      <c r="F6" s="31"/>
    </row>
    <row r="7" spans="1:6" x14ac:dyDescent="0.3">
      <c r="A7" s="28" t="s">
        <v>145</v>
      </c>
      <c r="B7" s="9"/>
      <c r="C7" s="9"/>
      <c r="D7" s="9"/>
      <c r="E7" s="9"/>
      <c r="F7" s="31"/>
    </row>
    <row r="8" spans="1:6" x14ac:dyDescent="0.3">
      <c r="A8" s="28" t="s">
        <v>146</v>
      </c>
      <c r="B8" s="9"/>
      <c r="C8" s="9"/>
      <c r="D8" s="9"/>
      <c r="E8" s="9"/>
      <c r="F8" s="31"/>
    </row>
    <row r="9" spans="1:6" x14ac:dyDescent="0.3">
      <c r="A9" s="28" t="s">
        <v>147</v>
      </c>
      <c r="B9" s="9"/>
      <c r="C9" s="9"/>
      <c r="D9" s="9"/>
      <c r="E9" s="9"/>
      <c r="F9" s="31"/>
    </row>
    <row r="10" spans="1:6" x14ac:dyDescent="0.3">
      <c r="A10" s="28" t="s">
        <v>148</v>
      </c>
      <c r="B10" s="9"/>
      <c r="C10" s="9"/>
      <c r="D10" s="9"/>
      <c r="E10" s="9"/>
      <c r="F10" s="31"/>
    </row>
    <row r="11" spans="1:6" x14ac:dyDescent="0.3">
      <c r="A11" s="28" t="s">
        <v>149</v>
      </c>
      <c r="B11" s="9"/>
      <c r="C11" s="9"/>
      <c r="D11" s="9"/>
      <c r="E11" s="9"/>
      <c r="F11" s="31"/>
    </row>
    <row r="12" spans="1:6" x14ac:dyDescent="0.3">
      <c r="A12" s="28" t="s">
        <v>150</v>
      </c>
      <c r="B12" s="9"/>
      <c r="C12" s="9"/>
      <c r="D12" s="9"/>
      <c r="E12" s="9"/>
      <c r="F12" s="31"/>
    </row>
    <row r="13" spans="1:6" x14ac:dyDescent="0.3">
      <c r="A13" s="28" t="s">
        <v>151</v>
      </c>
      <c r="B13" s="9"/>
      <c r="C13" s="9"/>
      <c r="D13" s="9"/>
      <c r="E13" s="9"/>
      <c r="F13" s="31"/>
    </row>
    <row r="14" spans="1:6" x14ac:dyDescent="0.3">
      <c r="A14" s="28" t="s">
        <v>152</v>
      </c>
      <c r="B14" s="9"/>
      <c r="C14" s="9"/>
      <c r="D14" s="9"/>
      <c r="E14" s="9"/>
      <c r="F14" s="31"/>
    </row>
    <row r="15" spans="1:6" x14ac:dyDescent="0.3">
      <c r="A15" s="28" t="s">
        <v>153</v>
      </c>
      <c r="B15" s="9"/>
      <c r="C15" s="9"/>
      <c r="D15" s="9">
        <v>1</v>
      </c>
      <c r="E15" s="9"/>
      <c r="F15" s="31"/>
    </row>
    <row r="16" spans="1:6" x14ac:dyDescent="0.3">
      <c r="A16" s="28" t="s">
        <v>154</v>
      </c>
      <c r="B16" s="9"/>
      <c r="C16" s="9"/>
      <c r="D16" s="9"/>
      <c r="E16" s="9"/>
      <c r="F16" s="31"/>
    </row>
    <row r="17" spans="1:6" x14ac:dyDescent="0.3">
      <c r="A17" s="28" t="s">
        <v>155</v>
      </c>
      <c r="B17" s="9"/>
      <c r="C17" s="9"/>
      <c r="D17" s="9"/>
      <c r="E17" s="9"/>
      <c r="F17" s="31"/>
    </row>
    <row r="18" spans="1:6" x14ac:dyDescent="0.3">
      <c r="A18" s="28" t="s">
        <v>156</v>
      </c>
      <c r="B18" s="9"/>
      <c r="C18" s="9"/>
      <c r="D18" s="9"/>
      <c r="E18" s="9"/>
      <c r="F18" s="31"/>
    </row>
    <row r="19" spans="1:6" x14ac:dyDescent="0.3">
      <c r="A19" s="28" t="s">
        <v>157</v>
      </c>
      <c r="B19" s="9"/>
      <c r="C19" s="9"/>
      <c r="D19" s="9"/>
      <c r="E19" s="9">
        <v>1</v>
      </c>
      <c r="F19" s="31"/>
    </row>
    <row r="20" spans="1:6" x14ac:dyDescent="0.3">
      <c r="A20" s="28" t="s">
        <v>158</v>
      </c>
      <c r="B20" s="9"/>
      <c r="C20" s="9"/>
      <c r="D20" s="9"/>
      <c r="E20" s="9">
        <v>1</v>
      </c>
      <c r="F20" s="31"/>
    </row>
    <row r="21" spans="1:6" x14ac:dyDescent="0.3">
      <c r="A21" s="28" t="s">
        <v>159</v>
      </c>
      <c r="B21" s="9"/>
      <c r="C21" s="9"/>
      <c r="D21" s="9"/>
      <c r="E21" s="9"/>
      <c r="F21" s="31"/>
    </row>
    <row r="22" spans="1:6" x14ac:dyDescent="0.3">
      <c r="A22" s="28" t="s">
        <v>160</v>
      </c>
      <c r="B22" s="9"/>
      <c r="C22" s="9"/>
      <c r="D22" s="9"/>
      <c r="E22" s="9"/>
      <c r="F22" s="31"/>
    </row>
    <row r="23" spans="1:6" x14ac:dyDescent="0.3">
      <c r="A23" s="28" t="s">
        <v>161</v>
      </c>
      <c r="B23" s="9"/>
      <c r="C23" s="9"/>
      <c r="D23" s="9"/>
      <c r="E23" s="9"/>
      <c r="F23" s="31"/>
    </row>
    <row r="24" spans="1:6" x14ac:dyDescent="0.3">
      <c r="A24" s="28" t="s">
        <v>162</v>
      </c>
      <c r="B24" s="9"/>
      <c r="C24" s="9"/>
      <c r="D24" s="9">
        <v>1</v>
      </c>
      <c r="E24" s="9"/>
      <c r="F24" s="31"/>
    </row>
    <row r="25" spans="1:6" x14ac:dyDescent="0.3">
      <c r="A25" s="28" t="s">
        <v>163</v>
      </c>
      <c r="B25" s="9"/>
      <c r="C25" s="9"/>
      <c r="D25" s="9"/>
      <c r="E25" s="9"/>
      <c r="F25" s="31"/>
    </row>
    <row r="26" spans="1:6" x14ac:dyDescent="0.3">
      <c r="A26" s="28" t="s">
        <v>164</v>
      </c>
      <c r="B26" s="9"/>
      <c r="C26" s="9"/>
      <c r="D26" s="9"/>
      <c r="E26" s="9"/>
      <c r="F26" s="31"/>
    </row>
    <row r="27" spans="1:6" x14ac:dyDescent="0.3">
      <c r="A27" s="28" t="s">
        <v>165</v>
      </c>
      <c r="B27" s="9"/>
      <c r="C27" s="9"/>
      <c r="D27" s="9"/>
      <c r="E27" s="9"/>
      <c r="F27" s="31"/>
    </row>
    <row r="28" spans="1:6" x14ac:dyDescent="0.3">
      <c r="A28" s="28" t="s">
        <v>166</v>
      </c>
      <c r="B28" s="9"/>
      <c r="C28" s="9"/>
      <c r="D28" s="9"/>
      <c r="E28" s="9"/>
      <c r="F28" s="31">
        <v>1</v>
      </c>
    </row>
    <row r="29" spans="1:6" x14ac:dyDescent="0.3">
      <c r="A29" s="28" t="s">
        <v>167</v>
      </c>
      <c r="B29" s="9"/>
      <c r="C29" s="9"/>
      <c r="D29" s="9"/>
      <c r="E29" s="9"/>
      <c r="F29" s="31"/>
    </row>
    <row r="30" spans="1:6" ht="16.2" thickBot="1" x14ac:dyDescent="0.35">
      <c r="A30" s="29" t="s">
        <v>168</v>
      </c>
      <c r="B30" s="10"/>
      <c r="C30" s="10"/>
      <c r="D30" s="10"/>
      <c r="E30" s="10"/>
      <c r="F30" s="11"/>
    </row>
    <row r="31" spans="1:6" x14ac:dyDescent="0.3">
      <c r="A31" s="13"/>
      <c r="B31" s="8"/>
      <c r="C31" s="8"/>
      <c r="D31" s="8"/>
      <c r="E31" s="8"/>
      <c r="F31" s="8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5F8-3DBD-4182-95AF-F72C7FA4D2FF}">
  <sheetPr>
    <tabColor theme="9" tint="0.79998168889431442"/>
  </sheetPr>
  <dimension ref="A1:E31"/>
  <sheetViews>
    <sheetView workbookViewId="0">
      <selection activeCell="A13" sqref="A13"/>
    </sheetView>
  </sheetViews>
  <sheetFormatPr defaultColWidth="9.33203125" defaultRowHeight="15.6" x14ac:dyDescent="0.3"/>
  <cols>
    <col min="1" max="1" width="15" style="1" customWidth="1"/>
    <col min="2" max="16384" width="9.33203125" style="1"/>
  </cols>
  <sheetData>
    <row r="1" spans="1:5" ht="16.2" thickBot="1" x14ac:dyDescent="0.35">
      <c r="A1" s="1" t="s">
        <v>193</v>
      </c>
    </row>
    <row r="2" spans="1:5" s="8" customFormat="1" x14ac:dyDescent="0.3">
      <c r="A2" s="6" t="s">
        <v>190</v>
      </c>
      <c r="B2" s="7" t="s">
        <v>133</v>
      </c>
      <c r="C2" s="7" t="s">
        <v>134</v>
      </c>
      <c r="D2" s="7" t="s">
        <v>135</v>
      </c>
      <c r="E2" s="27" t="s">
        <v>136</v>
      </c>
    </row>
    <row r="3" spans="1:5" x14ac:dyDescent="0.3">
      <c r="A3" s="28" t="s">
        <v>141</v>
      </c>
      <c r="B3" s="9"/>
      <c r="C3" s="9"/>
      <c r="D3" s="9"/>
      <c r="E3" s="31"/>
    </row>
    <row r="4" spans="1:5" x14ac:dyDescent="0.3">
      <c r="A4" s="28" t="s">
        <v>142</v>
      </c>
      <c r="B4" s="9"/>
      <c r="C4" s="9"/>
      <c r="D4" s="9"/>
      <c r="E4" s="31"/>
    </row>
    <row r="5" spans="1:5" x14ac:dyDescent="0.3">
      <c r="A5" s="28" t="s">
        <v>143</v>
      </c>
      <c r="B5" s="9"/>
      <c r="C5" s="9"/>
      <c r="D5" s="9"/>
      <c r="E5" s="31"/>
    </row>
    <row r="6" spans="1:5" x14ac:dyDescent="0.3">
      <c r="A6" s="28" t="s">
        <v>144</v>
      </c>
      <c r="B6" s="9"/>
      <c r="C6" s="9"/>
      <c r="D6" s="9"/>
      <c r="E6" s="31"/>
    </row>
    <row r="7" spans="1:5" x14ac:dyDescent="0.3">
      <c r="A7" s="28" t="s">
        <v>145</v>
      </c>
      <c r="B7" s="9"/>
      <c r="C7" s="9"/>
      <c r="D7" s="9"/>
      <c r="E7" s="31"/>
    </row>
    <row r="8" spans="1:5" x14ac:dyDescent="0.3">
      <c r="A8" s="28" t="s">
        <v>146</v>
      </c>
      <c r="B8" s="9"/>
      <c r="C8" s="9"/>
      <c r="D8" s="9"/>
      <c r="E8" s="31"/>
    </row>
    <row r="9" spans="1:5" x14ac:dyDescent="0.3">
      <c r="A9" s="28" t="s">
        <v>147</v>
      </c>
      <c r="B9" s="9"/>
      <c r="C9" s="9"/>
      <c r="D9" s="9"/>
      <c r="E9" s="31"/>
    </row>
    <row r="10" spans="1:5" x14ac:dyDescent="0.3">
      <c r="A10" s="28" t="s">
        <v>148</v>
      </c>
      <c r="B10" s="9"/>
      <c r="C10" s="9"/>
      <c r="D10" s="9"/>
      <c r="E10" s="31"/>
    </row>
    <row r="11" spans="1:5" x14ac:dyDescent="0.3">
      <c r="A11" s="28" t="s">
        <v>149</v>
      </c>
      <c r="B11" s="9"/>
      <c r="C11" s="9"/>
      <c r="D11" s="9"/>
      <c r="E11" s="31"/>
    </row>
    <row r="12" spans="1:5" x14ac:dyDescent="0.3">
      <c r="A12" s="28" t="s">
        <v>150</v>
      </c>
      <c r="B12" s="9">
        <v>1</v>
      </c>
      <c r="C12" s="9"/>
      <c r="D12" s="9"/>
      <c r="E12" s="31"/>
    </row>
    <row r="13" spans="1:5" x14ac:dyDescent="0.3">
      <c r="A13" s="28" t="s">
        <v>151</v>
      </c>
      <c r="B13" s="9"/>
      <c r="C13" s="9"/>
      <c r="D13" s="9"/>
      <c r="E13" s="31"/>
    </row>
    <row r="14" spans="1:5" x14ac:dyDescent="0.3">
      <c r="A14" s="28" t="s">
        <v>152</v>
      </c>
      <c r="B14" s="9"/>
      <c r="C14" s="9">
        <v>1</v>
      </c>
      <c r="D14" s="9"/>
      <c r="E14" s="31"/>
    </row>
    <row r="15" spans="1:5" x14ac:dyDescent="0.3">
      <c r="A15" s="28" t="s">
        <v>153</v>
      </c>
      <c r="B15" s="9"/>
      <c r="C15" s="9"/>
      <c r="D15" s="9"/>
      <c r="E15" s="31"/>
    </row>
    <row r="16" spans="1:5" x14ac:dyDescent="0.3">
      <c r="A16" s="28" t="s">
        <v>154</v>
      </c>
      <c r="B16" s="9"/>
      <c r="C16" s="9"/>
      <c r="D16" s="9"/>
      <c r="E16" s="31"/>
    </row>
    <row r="17" spans="1:5" x14ac:dyDescent="0.3">
      <c r="A17" s="28" t="s">
        <v>155</v>
      </c>
      <c r="B17" s="9"/>
      <c r="C17" s="9"/>
      <c r="D17" s="9"/>
      <c r="E17" s="31"/>
    </row>
    <row r="18" spans="1:5" x14ac:dyDescent="0.3">
      <c r="A18" s="28" t="s">
        <v>156</v>
      </c>
      <c r="B18" s="9"/>
      <c r="C18" s="9"/>
      <c r="D18" s="9"/>
      <c r="E18" s="31"/>
    </row>
    <row r="19" spans="1:5" x14ac:dyDescent="0.3">
      <c r="A19" s="28" t="s">
        <v>157</v>
      </c>
      <c r="B19" s="9"/>
      <c r="C19" s="9"/>
      <c r="D19" s="9"/>
      <c r="E19" s="31"/>
    </row>
    <row r="20" spans="1:5" x14ac:dyDescent="0.3">
      <c r="A20" s="28" t="s">
        <v>158</v>
      </c>
      <c r="B20" s="9"/>
      <c r="C20" s="9"/>
      <c r="D20" s="9"/>
      <c r="E20" s="31"/>
    </row>
    <row r="21" spans="1:5" x14ac:dyDescent="0.3">
      <c r="A21" s="28" t="s">
        <v>159</v>
      </c>
      <c r="B21" s="9"/>
      <c r="C21" s="9"/>
      <c r="D21" s="9"/>
      <c r="E21" s="31"/>
    </row>
    <row r="22" spans="1:5" x14ac:dyDescent="0.3">
      <c r="A22" s="28" t="s">
        <v>160</v>
      </c>
      <c r="B22" s="9"/>
      <c r="C22" s="9"/>
      <c r="D22" s="9">
        <v>1</v>
      </c>
      <c r="E22" s="31"/>
    </row>
    <row r="23" spans="1:5" x14ac:dyDescent="0.3">
      <c r="A23" s="28" t="s">
        <v>161</v>
      </c>
      <c r="B23" s="9"/>
      <c r="C23" s="9"/>
      <c r="D23" s="9"/>
      <c r="E23" s="31"/>
    </row>
    <row r="24" spans="1:5" x14ac:dyDescent="0.3">
      <c r="A24" s="28" t="s">
        <v>162</v>
      </c>
      <c r="B24" s="9"/>
      <c r="C24" s="9"/>
      <c r="D24" s="9"/>
      <c r="E24" s="31"/>
    </row>
    <row r="25" spans="1:5" x14ac:dyDescent="0.3">
      <c r="A25" s="28" t="s">
        <v>163</v>
      </c>
      <c r="B25" s="9"/>
      <c r="C25" s="9"/>
      <c r="D25" s="9"/>
      <c r="E25" s="31">
        <v>1</v>
      </c>
    </row>
    <row r="26" spans="1:5" x14ac:dyDescent="0.3">
      <c r="A26" s="28" t="s">
        <v>164</v>
      </c>
      <c r="B26" s="9"/>
      <c r="C26" s="9"/>
      <c r="D26" s="9"/>
      <c r="E26" s="31"/>
    </row>
    <row r="27" spans="1:5" x14ac:dyDescent="0.3">
      <c r="A27" s="28" t="s">
        <v>165</v>
      </c>
      <c r="B27" s="9"/>
      <c r="C27" s="9"/>
      <c r="D27" s="9"/>
      <c r="E27" s="31"/>
    </row>
    <row r="28" spans="1:5" x14ac:dyDescent="0.3">
      <c r="A28" s="28" t="s">
        <v>166</v>
      </c>
      <c r="B28" s="9"/>
      <c r="C28" s="9"/>
      <c r="D28" s="9"/>
      <c r="E28" s="31"/>
    </row>
    <row r="29" spans="1:5" x14ac:dyDescent="0.3">
      <c r="A29" s="28" t="s">
        <v>167</v>
      </c>
      <c r="B29" s="9"/>
      <c r="C29" s="9"/>
      <c r="D29" s="9"/>
      <c r="E29" s="31"/>
    </row>
    <row r="30" spans="1:5" ht="16.2" thickBot="1" x14ac:dyDescent="0.35">
      <c r="A30" s="29" t="s">
        <v>168</v>
      </c>
      <c r="B30" s="10"/>
      <c r="C30" s="10"/>
      <c r="D30" s="10"/>
      <c r="E30" s="11"/>
    </row>
    <row r="31" spans="1:5" x14ac:dyDescent="0.3">
      <c r="A31" s="13"/>
      <c r="B31" s="8"/>
      <c r="C31" s="8"/>
      <c r="D31" s="8"/>
      <c r="E31" s="8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16D-9002-4617-9A63-E1CA29CE5849}">
  <sheetPr>
    <tabColor theme="9" tint="0.79998168889431442"/>
  </sheetPr>
  <dimension ref="A1:D3"/>
  <sheetViews>
    <sheetView workbookViewId="0">
      <selection activeCell="A13" sqref="A13"/>
    </sheetView>
  </sheetViews>
  <sheetFormatPr defaultColWidth="9.33203125" defaultRowHeight="15.6" x14ac:dyDescent="0.3"/>
  <cols>
    <col min="1" max="1" width="16" style="1" customWidth="1"/>
    <col min="2" max="16384" width="9.33203125" style="1"/>
  </cols>
  <sheetData>
    <row r="1" spans="1:4" ht="16.2" thickBot="1" x14ac:dyDescent="0.35">
      <c r="A1" s="1" t="s">
        <v>194</v>
      </c>
    </row>
    <row r="2" spans="1:4" s="8" customFormat="1" x14ac:dyDescent="0.3">
      <c r="A2" s="6" t="s">
        <v>190</v>
      </c>
      <c r="B2" s="7" t="s">
        <v>129</v>
      </c>
      <c r="C2" s="7" t="s">
        <v>130</v>
      </c>
      <c r="D2" s="27" t="s">
        <v>131</v>
      </c>
    </row>
    <row r="3" spans="1:4" ht="16.2" thickBot="1" x14ac:dyDescent="0.35">
      <c r="A3" s="3" t="s">
        <v>152</v>
      </c>
      <c r="B3" s="10"/>
      <c r="C3" s="10"/>
      <c r="D3" s="1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9F10-CE90-494D-8C57-8F92F1447238}">
  <sheetPr>
    <tabColor theme="9" tint="0.79998168889431442"/>
  </sheetPr>
  <dimension ref="A1:A11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297</v>
      </c>
    </row>
    <row r="2" spans="1:1" x14ac:dyDescent="0.3">
      <c r="A2" s="13"/>
    </row>
    <row r="3" spans="1:1" x14ac:dyDescent="0.3">
      <c r="A3" s="13"/>
    </row>
    <row r="4" spans="1:1" x14ac:dyDescent="0.3">
      <c r="A4" s="13"/>
    </row>
    <row r="5" spans="1:1" x14ac:dyDescent="0.3">
      <c r="A5" s="13"/>
    </row>
    <row r="6" spans="1:1" x14ac:dyDescent="0.3">
      <c r="A6" s="13"/>
    </row>
    <row r="7" spans="1:1" x14ac:dyDescent="0.3">
      <c r="A7" s="13"/>
    </row>
    <row r="8" spans="1:1" x14ac:dyDescent="0.3">
      <c r="A8" s="13"/>
    </row>
    <row r="9" spans="1:1" x14ac:dyDescent="0.3">
      <c r="A9" s="13"/>
    </row>
    <row r="10" spans="1:1" x14ac:dyDescent="0.3">
      <c r="A10" s="13"/>
    </row>
    <row r="11" spans="1:1" x14ac:dyDescent="0.3">
      <c r="A11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F62-97B3-424F-8681-D1975DE263A9}">
  <sheetPr>
    <tabColor theme="9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2" ht="16.2" thickBot="1" x14ac:dyDescent="0.35">
      <c r="A1" s="1" t="s">
        <v>195</v>
      </c>
    </row>
    <row r="2" spans="1:2" s="8" customFormat="1" x14ac:dyDescent="0.3">
      <c r="A2" s="6" t="s">
        <v>198</v>
      </c>
      <c r="B2" s="27" t="s">
        <v>152</v>
      </c>
    </row>
    <row r="3" spans="1:2" x14ac:dyDescent="0.3">
      <c r="A3" s="2" t="s">
        <v>129</v>
      </c>
      <c r="B3" s="31"/>
    </row>
    <row r="4" spans="1:2" x14ac:dyDescent="0.3">
      <c r="A4" s="2" t="s">
        <v>130</v>
      </c>
      <c r="B4" s="31"/>
    </row>
    <row r="5" spans="1:2" ht="16.2" thickBot="1" x14ac:dyDescent="0.35">
      <c r="A5" s="3" t="s">
        <v>131</v>
      </c>
      <c r="B5" s="1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470E-E975-4217-A409-8C10C569162A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23.6640625" style="1" customWidth="1"/>
    <col min="2" max="16384" width="9.109375" style="1"/>
  </cols>
  <sheetData>
    <row r="1" spans="1:4" x14ac:dyDescent="0.3">
      <c r="A1" s="1" t="s">
        <v>296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D47-F187-4A8D-891B-85F0F5A9A73D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5546875" style="1" customWidth="1"/>
    <col min="2" max="16384" width="9.33203125" style="1"/>
  </cols>
  <sheetData>
    <row r="1" spans="1:3" ht="16.2" thickBot="1" x14ac:dyDescent="0.35">
      <c r="A1" s="1" t="s">
        <v>332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C2E-9295-44C7-B492-F6D27B8F0C30}">
  <sheetPr>
    <tabColor theme="9" tint="0.79998168889431442"/>
  </sheetPr>
  <dimension ref="A1:D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4" ht="16.2" thickBot="1" x14ac:dyDescent="0.35">
      <c r="A1" s="1" t="s">
        <v>300</v>
      </c>
    </row>
    <row r="2" spans="1:4" s="8" customFormat="1" x14ac:dyDescent="0.3">
      <c r="A2" s="6" t="s">
        <v>196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BD1-9C53-4E86-8483-588C08719311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5546875" style="1" customWidth="1"/>
    <col min="2" max="16384" width="9.109375" style="1"/>
  </cols>
  <sheetData>
    <row r="1" spans="1:4" ht="16.2" thickBot="1" x14ac:dyDescent="0.35">
      <c r="A1" s="1" t="s">
        <v>301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>
        <v>1</v>
      </c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>
        <v>1</v>
      </c>
      <c r="D5" s="31"/>
    </row>
    <row r="6" spans="1:4" ht="16.2" thickBot="1" x14ac:dyDescent="0.35">
      <c r="A6" s="29" t="s">
        <v>136</v>
      </c>
      <c r="B6" s="10"/>
      <c r="C6" s="10"/>
      <c r="D6" s="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4E-11ED-45FA-AE95-642AF80BF911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14.6640625" style="1" customWidth="1"/>
    <col min="2" max="16384" width="9.109375" style="1"/>
  </cols>
  <sheetData>
    <row r="1" spans="1:4" ht="16.2" thickBot="1" x14ac:dyDescent="0.35">
      <c r="A1" s="1" t="s">
        <v>197</v>
      </c>
    </row>
    <row r="2" spans="1:4" x14ac:dyDescent="0.3">
      <c r="A2" s="6" t="s">
        <v>198</v>
      </c>
      <c r="B2" s="7" t="s">
        <v>117</v>
      </c>
      <c r="C2" s="7" t="s">
        <v>118</v>
      </c>
      <c r="D2" s="27" t="s">
        <v>119</v>
      </c>
    </row>
    <row r="3" spans="1:4" x14ac:dyDescent="0.3">
      <c r="A3" s="2" t="s">
        <v>129</v>
      </c>
      <c r="B3" s="9">
        <v>1</v>
      </c>
      <c r="C3" s="9"/>
      <c r="D3" s="31"/>
    </row>
    <row r="4" spans="1:4" x14ac:dyDescent="0.3">
      <c r="A4" s="2" t="s">
        <v>130</v>
      </c>
      <c r="B4" s="9"/>
      <c r="C4" s="9">
        <v>1</v>
      </c>
      <c r="D4" s="31"/>
    </row>
    <row r="5" spans="1:4" ht="16.2" thickBot="1" x14ac:dyDescent="0.35">
      <c r="A5" s="3" t="s">
        <v>131</v>
      </c>
      <c r="B5" s="10"/>
      <c r="C5" s="10"/>
      <c r="D5" s="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73B-ABE6-40C2-BA6B-F7AEA69D03F8}">
  <sheetPr>
    <tabColor theme="9" tint="0.79998168889431442"/>
  </sheetPr>
  <dimension ref="A1:G6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7" ht="16.2" thickBot="1" x14ac:dyDescent="0.35">
      <c r="A1" s="1" t="s">
        <v>302</v>
      </c>
    </row>
    <row r="2" spans="1:7" s="8" customFormat="1" x14ac:dyDescent="0.3">
      <c r="A2" s="6" t="s">
        <v>196</v>
      </c>
      <c r="B2" s="7" t="s">
        <v>143</v>
      </c>
      <c r="C2" s="7" t="s">
        <v>150</v>
      </c>
      <c r="D2" s="7" t="s">
        <v>152</v>
      </c>
      <c r="E2" s="7" t="s">
        <v>160</v>
      </c>
      <c r="F2" s="7" t="s">
        <v>163</v>
      </c>
      <c r="G2" s="27" t="s">
        <v>164</v>
      </c>
    </row>
    <row r="3" spans="1:7" x14ac:dyDescent="0.3">
      <c r="A3" s="28" t="s">
        <v>133</v>
      </c>
      <c r="B3" s="9"/>
      <c r="C3" s="9"/>
      <c r="D3" s="9"/>
      <c r="E3" s="9"/>
      <c r="F3" s="9"/>
      <c r="G3" s="31"/>
    </row>
    <row r="4" spans="1:7" x14ac:dyDescent="0.3">
      <c r="A4" s="28" t="s">
        <v>134</v>
      </c>
      <c r="B4" s="9"/>
      <c r="C4" s="9"/>
      <c r="D4" s="9"/>
      <c r="E4" s="9"/>
      <c r="F4" s="9"/>
      <c r="G4" s="31"/>
    </row>
    <row r="5" spans="1:7" x14ac:dyDescent="0.3">
      <c r="A5" s="28" t="s">
        <v>135</v>
      </c>
      <c r="B5" s="9"/>
      <c r="C5" s="9"/>
      <c r="D5" s="9"/>
      <c r="E5" s="9"/>
      <c r="F5" s="9"/>
      <c r="G5" s="31"/>
    </row>
    <row r="6" spans="1:7" ht="16.2" thickBot="1" x14ac:dyDescent="0.35">
      <c r="A6" s="29" t="s">
        <v>136</v>
      </c>
      <c r="B6" s="10"/>
      <c r="C6" s="10"/>
      <c r="D6" s="10"/>
      <c r="E6" s="10"/>
      <c r="F6" s="10"/>
      <c r="G6" s="1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5F9C-FA1A-429C-94DB-7469B7607C89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295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631-9141-4367-876C-8B8C7DB728DE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305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8ED-0A77-4974-A7C2-D2B875DA1401}">
  <sheetPr>
    <tabColor theme="9" tint="0.79998168889431442"/>
  </sheetPr>
  <dimension ref="A1:D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4" ht="16.2" thickBot="1" x14ac:dyDescent="0.35">
      <c r="A1" s="1" t="s">
        <v>199</v>
      </c>
    </row>
    <row r="2" spans="1:4" s="8" customFormat="1" x14ac:dyDescent="0.3">
      <c r="A2" s="6" t="s">
        <v>185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87</v>
      </c>
      <c r="B3" s="9"/>
      <c r="C3" s="9"/>
      <c r="D3" s="31"/>
    </row>
    <row r="4" spans="1:4" x14ac:dyDescent="0.3">
      <c r="A4" s="28" t="s">
        <v>88</v>
      </c>
      <c r="B4" s="9"/>
      <c r="C4" s="9"/>
      <c r="D4" s="31"/>
    </row>
    <row r="5" spans="1:4" x14ac:dyDescent="0.3">
      <c r="A5" s="28" t="s">
        <v>89</v>
      </c>
      <c r="B5" s="9"/>
      <c r="C5" s="9"/>
      <c r="D5" s="31"/>
    </row>
    <row r="6" spans="1:4" x14ac:dyDescent="0.3">
      <c r="A6" s="28" t="s">
        <v>90</v>
      </c>
      <c r="B6" s="9"/>
      <c r="C6" s="9"/>
      <c r="D6" s="31"/>
    </row>
    <row r="7" spans="1:4" x14ac:dyDescent="0.3">
      <c r="A7" s="28" t="s">
        <v>91</v>
      </c>
      <c r="B7" s="9"/>
      <c r="C7" s="9"/>
      <c r="D7" s="31"/>
    </row>
    <row r="8" spans="1:4" x14ac:dyDescent="0.3">
      <c r="A8" s="28" t="s">
        <v>92</v>
      </c>
      <c r="B8" s="9"/>
      <c r="C8" s="9"/>
      <c r="D8" s="31"/>
    </row>
    <row r="9" spans="1:4" x14ac:dyDescent="0.3">
      <c r="A9" s="28" t="s">
        <v>93</v>
      </c>
      <c r="B9" s="9"/>
      <c r="C9" s="9"/>
      <c r="D9" s="31"/>
    </row>
    <row r="10" spans="1:4" x14ac:dyDescent="0.3">
      <c r="A10" s="28" t="s">
        <v>94</v>
      </c>
      <c r="B10" s="9"/>
      <c r="C10" s="9"/>
      <c r="D10" s="31"/>
    </row>
    <row r="11" spans="1:4" x14ac:dyDescent="0.3">
      <c r="A11" s="28" t="s">
        <v>95</v>
      </c>
      <c r="B11" s="9"/>
      <c r="C11" s="9"/>
      <c r="D11" s="31"/>
    </row>
    <row r="12" spans="1:4" x14ac:dyDescent="0.3">
      <c r="A12" s="28" t="s">
        <v>96</v>
      </c>
      <c r="B12" s="9"/>
      <c r="C12" s="9"/>
      <c r="D12" s="31"/>
    </row>
    <row r="13" spans="1:4" x14ac:dyDescent="0.3">
      <c r="A13" s="28" t="s">
        <v>97</v>
      </c>
      <c r="B13" s="9"/>
      <c r="C13" s="9"/>
      <c r="D13" s="31"/>
    </row>
    <row r="14" spans="1:4" x14ac:dyDescent="0.3">
      <c r="A14" s="28" t="s">
        <v>98</v>
      </c>
      <c r="B14" s="9"/>
      <c r="C14" s="9"/>
      <c r="D14" s="31"/>
    </row>
    <row r="15" spans="1:4" x14ac:dyDescent="0.3">
      <c r="A15" s="28" t="s">
        <v>99</v>
      </c>
      <c r="B15" s="9"/>
      <c r="C15" s="9"/>
      <c r="D15" s="31"/>
    </row>
    <row r="16" spans="1:4" ht="16.2" thickBot="1" x14ac:dyDescent="0.35">
      <c r="A16" s="29" t="s">
        <v>100</v>
      </c>
      <c r="B16" s="10"/>
      <c r="C16" s="10"/>
      <c r="D16" s="11"/>
    </row>
  </sheetData>
  <phoneticPr fontId="2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298C-1D1C-4004-91BA-05C3C07D8B7C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88671875" style="1" customWidth="1"/>
    <col min="2" max="16384" width="9.33203125" style="1"/>
  </cols>
  <sheetData>
    <row r="1" spans="1:3" ht="16.2" thickBot="1" x14ac:dyDescent="0.35">
      <c r="A1" s="1" t="s">
        <v>334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75C-BC38-44C0-8EFB-EA0A3ABCF1EE}">
  <sheetPr>
    <tabColor theme="9" tint="0.79998168889431442"/>
  </sheetPr>
  <dimension ref="A1:F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6" ht="16.2" thickBot="1" x14ac:dyDescent="0.35">
      <c r="A1" s="1" t="s">
        <v>200</v>
      </c>
    </row>
    <row r="2" spans="1:6" s="8" customFormat="1" x14ac:dyDescent="0.3">
      <c r="A2" s="6" t="s">
        <v>185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87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s="8" customFormat="1" x14ac:dyDescent="0.3">
      <c r="A4" s="28" t="s">
        <v>88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s="8" customFormat="1" x14ac:dyDescent="0.3">
      <c r="A5" s="28" t="s">
        <v>89</v>
      </c>
      <c r="B5" s="9">
        <v>1</v>
      </c>
      <c r="C5" s="9">
        <v>1</v>
      </c>
      <c r="D5" s="9">
        <v>1</v>
      </c>
      <c r="E5" s="9">
        <v>1</v>
      </c>
      <c r="F5" s="31">
        <v>1</v>
      </c>
    </row>
    <row r="6" spans="1:6" x14ac:dyDescent="0.3">
      <c r="A6" s="28" t="s">
        <v>90</v>
      </c>
      <c r="B6" s="9">
        <v>1</v>
      </c>
      <c r="C6" s="9">
        <v>1</v>
      </c>
      <c r="D6" s="9">
        <v>1</v>
      </c>
      <c r="E6" s="9">
        <v>1</v>
      </c>
      <c r="F6" s="31">
        <v>1</v>
      </c>
    </row>
    <row r="7" spans="1:6" x14ac:dyDescent="0.3">
      <c r="A7" s="28" t="s">
        <v>91</v>
      </c>
      <c r="B7" s="9">
        <v>1</v>
      </c>
      <c r="C7" s="9">
        <v>1</v>
      </c>
      <c r="D7" s="9">
        <v>1</v>
      </c>
      <c r="E7" s="9">
        <v>1</v>
      </c>
      <c r="F7" s="31">
        <v>1</v>
      </c>
    </row>
    <row r="8" spans="1:6" x14ac:dyDescent="0.3">
      <c r="A8" s="28" t="s">
        <v>92</v>
      </c>
      <c r="B8" s="9">
        <v>1</v>
      </c>
      <c r="C8" s="9">
        <v>1</v>
      </c>
      <c r="D8" s="9">
        <v>1</v>
      </c>
      <c r="E8" s="9">
        <v>1</v>
      </c>
      <c r="F8" s="31">
        <v>1</v>
      </c>
    </row>
    <row r="9" spans="1:6" x14ac:dyDescent="0.3">
      <c r="A9" s="28" t="s">
        <v>93</v>
      </c>
      <c r="B9" s="9">
        <v>1</v>
      </c>
      <c r="C9" s="9">
        <v>1</v>
      </c>
      <c r="D9" s="9">
        <v>1</v>
      </c>
      <c r="E9" s="9">
        <v>1</v>
      </c>
      <c r="F9" s="31">
        <v>1</v>
      </c>
    </row>
    <row r="10" spans="1:6" x14ac:dyDescent="0.3">
      <c r="A10" s="28" t="s">
        <v>94</v>
      </c>
      <c r="B10" s="9">
        <v>1</v>
      </c>
      <c r="C10" s="9">
        <v>1</v>
      </c>
      <c r="D10" s="9">
        <v>1</v>
      </c>
      <c r="E10" s="9">
        <v>1</v>
      </c>
      <c r="F10" s="31">
        <v>1</v>
      </c>
    </row>
    <row r="11" spans="1:6" x14ac:dyDescent="0.3">
      <c r="A11" s="28" t="s">
        <v>95</v>
      </c>
      <c r="B11" s="9">
        <v>1</v>
      </c>
      <c r="C11" s="9">
        <v>1</v>
      </c>
      <c r="D11" s="9">
        <v>1</v>
      </c>
      <c r="E11" s="9">
        <v>1</v>
      </c>
      <c r="F11" s="31">
        <v>1</v>
      </c>
    </row>
    <row r="12" spans="1:6" x14ac:dyDescent="0.3">
      <c r="A12" s="28" t="s">
        <v>96</v>
      </c>
      <c r="B12" s="9">
        <v>1</v>
      </c>
      <c r="C12" s="9">
        <v>1</v>
      </c>
      <c r="D12" s="9">
        <v>1</v>
      </c>
      <c r="E12" s="9">
        <v>1</v>
      </c>
      <c r="F12" s="31">
        <v>1</v>
      </c>
    </row>
    <row r="13" spans="1:6" x14ac:dyDescent="0.3">
      <c r="A13" s="28" t="s">
        <v>97</v>
      </c>
      <c r="B13" s="9">
        <v>1</v>
      </c>
      <c r="C13" s="9">
        <v>1</v>
      </c>
      <c r="D13" s="9">
        <v>1</v>
      </c>
      <c r="E13" s="9">
        <v>1</v>
      </c>
      <c r="F13" s="31">
        <v>1</v>
      </c>
    </row>
    <row r="14" spans="1:6" x14ac:dyDescent="0.3">
      <c r="A14" s="28" t="s">
        <v>98</v>
      </c>
      <c r="B14" s="9">
        <v>1</v>
      </c>
      <c r="C14" s="9">
        <v>1</v>
      </c>
      <c r="D14" s="9">
        <v>1</v>
      </c>
      <c r="E14" s="9">
        <v>1</v>
      </c>
      <c r="F14" s="31">
        <v>1</v>
      </c>
    </row>
    <row r="15" spans="1:6" x14ac:dyDescent="0.3">
      <c r="A15" s="28" t="s">
        <v>99</v>
      </c>
      <c r="B15" s="9">
        <v>1</v>
      </c>
      <c r="C15" s="9">
        <v>1</v>
      </c>
      <c r="D15" s="9">
        <v>1</v>
      </c>
      <c r="E15" s="9">
        <v>1</v>
      </c>
      <c r="F15" s="31">
        <v>1</v>
      </c>
    </row>
    <row r="16" spans="1:6" ht="16.2" thickBot="1" x14ac:dyDescent="0.35">
      <c r="A16" s="29" t="s">
        <v>100</v>
      </c>
      <c r="B16" s="10">
        <v>1</v>
      </c>
      <c r="C16" s="10">
        <v>1</v>
      </c>
      <c r="D16" s="10">
        <v>1</v>
      </c>
      <c r="E16" s="10">
        <v>1</v>
      </c>
      <c r="F16" s="11">
        <v>1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7C74-863B-4C67-B58B-571271FAEA0E}">
  <sheetPr>
    <tabColor theme="9" tint="0.79998168889431442"/>
  </sheetPr>
  <dimension ref="A1:F5"/>
  <sheetViews>
    <sheetView workbookViewId="0">
      <selection activeCell="A13" sqref="A13"/>
    </sheetView>
  </sheetViews>
  <sheetFormatPr defaultColWidth="9.33203125" defaultRowHeight="15.6" x14ac:dyDescent="0.3"/>
  <cols>
    <col min="1" max="1" width="18.109375" style="1" customWidth="1"/>
    <col min="2" max="16384" width="9.33203125" style="1"/>
  </cols>
  <sheetData>
    <row r="1" spans="1:6" ht="16.2" thickBot="1" x14ac:dyDescent="0.35">
      <c r="A1" s="1" t="s">
        <v>201</v>
      </c>
    </row>
    <row r="2" spans="1:6" s="8" customFormat="1" x14ac:dyDescent="0.3">
      <c r="A2" s="6" t="s">
        <v>187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117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x14ac:dyDescent="0.3">
      <c r="A4" s="28" t="s">
        <v>118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ht="16.2" thickBot="1" x14ac:dyDescent="0.35">
      <c r="A5" s="29" t="s">
        <v>119</v>
      </c>
      <c r="B5" s="10">
        <v>1</v>
      </c>
      <c r="C5" s="10">
        <v>1</v>
      </c>
      <c r="D5" s="10">
        <v>1</v>
      </c>
      <c r="E5" s="10">
        <v>1</v>
      </c>
      <c r="F5" s="11">
        <v>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F2B-1E4B-46C9-B210-3150CCBB5892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6640625" style="1" customWidth="1"/>
    <col min="2" max="16384" width="9.33203125" style="1"/>
  </cols>
  <sheetData>
    <row r="1" spans="1:4" ht="16.2" thickBot="1" x14ac:dyDescent="0.35">
      <c r="A1" s="1" t="s">
        <v>202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117</v>
      </c>
      <c r="B3" s="32"/>
      <c r="C3" s="32"/>
      <c r="D3" s="34"/>
    </row>
    <row r="4" spans="1:4" s="8" customFormat="1" x14ac:dyDescent="0.3">
      <c r="A4" s="28" t="s">
        <v>118</v>
      </c>
      <c r="B4" s="32"/>
      <c r="C4" s="32"/>
      <c r="D4" s="34"/>
    </row>
    <row r="5" spans="1:4" s="8" customFormat="1" ht="16.2" thickBot="1" x14ac:dyDescent="0.35">
      <c r="A5" s="29" t="s">
        <v>119</v>
      </c>
      <c r="B5" s="33"/>
      <c r="C5" s="33"/>
      <c r="D5" s="1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059-0CB1-474F-ACFF-2997470BE1E9}">
  <sheetPr>
    <tabColor theme="9" tint="0.79998168889431442"/>
  </sheetPr>
  <dimension ref="A1:B3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">
        <v>203</v>
      </c>
    </row>
    <row r="2" spans="1:2" s="8" customFormat="1" x14ac:dyDescent="0.3">
      <c r="A2" s="6" t="s">
        <v>187</v>
      </c>
      <c r="B2" s="27" t="s">
        <v>129</v>
      </c>
    </row>
    <row r="3" spans="1:2" s="8" customFormat="1" ht="16.2" thickBot="1" x14ac:dyDescent="0.35">
      <c r="A3" s="29" t="s">
        <v>117</v>
      </c>
      <c r="B3" s="1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D473-2930-44EE-8137-39B9510AF450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6640625" style="1" customWidth="1"/>
    <col min="2" max="16384" width="9.109375" style="1"/>
  </cols>
  <sheetData>
    <row r="1" spans="1:4" ht="16.2" thickBot="1" x14ac:dyDescent="0.35">
      <c r="A1" s="1" t="s">
        <v>303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C474-4CA3-482D-8EF9-161A6D97C2DB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298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F5B-386F-48FB-AEF9-824F4D45CD63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299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0AB0-D32B-4E99-8ACD-C8EA595D930F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306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981-7DF6-4E1E-9B3F-307C90704C6F}">
  <sheetPr>
    <tabColor theme="9" tint="0.79998168889431442"/>
  </sheetPr>
  <dimension ref="A1:D61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ht="16.2" thickBot="1" x14ac:dyDescent="0.35">
      <c r="A1" s="1" t="s">
        <v>288</v>
      </c>
    </row>
    <row r="2" spans="1:4" x14ac:dyDescent="0.3">
      <c r="A2" s="123" t="s">
        <v>256</v>
      </c>
      <c r="B2" s="120" t="s">
        <v>44</v>
      </c>
    </row>
    <row r="3" spans="1:4" x14ac:dyDescent="0.3">
      <c r="A3" s="121" t="s">
        <v>87</v>
      </c>
      <c r="B3" s="122">
        <v>650</v>
      </c>
    </row>
    <row r="4" spans="1:4" x14ac:dyDescent="0.3">
      <c r="A4" s="121" t="s">
        <v>88</v>
      </c>
      <c r="B4" s="122">
        <v>550</v>
      </c>
      <c r="D4" s="12"/>
    </row>
    <row r="5" spans="1:4" x14ac:dyDescent="0.3">
      <c r="A5" s="121" t="s">
        <v>89</v>
      </c>
      <c r="B5" s="122">
        <v>550</v>
      </c>
    </row>
    <row r="6" spans="1:4" x14ac:dyDescent="0.3">
      <c r="A6" s="121" t="s">
        <v>90</v>
      </c>
      <c r="B6" s="122">
        <v>450</v>
      </c>
    </row>
    <row r="7" spans="1:4" x14ac:dyDescent="0.3">
      <c r="A7" s="121" t="s">
        <v>91</v>
      </c>
      <c r="B7" s="122">
        <v>450</v>
      </c>
    </row>
    <row r="8" spans="1:4" x14ac:dyDescent="0.3">
      <c r="A8" s="121" t="s">
        <v>92</v>
      </c>
      <c r="B8" s="122">
        <v>300</v>
      </c>
    </row>
    <row r="9" spans="1:4" x14ac:dyDescent="0.3">
      <c r="A9" s="121" t="s">
        <v>93</v>
      </c>
      <c r="B9" s="122">
        <v>250</v>
      </c>
    </row>
    <row r="10" spans="1:4" x14ac:dyDescent="0.3">
      <c r="A10" s="121" t="s">
        <v>94</v>
      </c>
      <c r="B10" s="122">
        <v>250</v>
      </c>
    </row>
    <row r="11" spans="1:4" x14ac:dyDescent="0.3">
      <c r="A11" s="121" t="s">
        <v>95</v>
      </c>
      <c r="B11" s="122">
        <v>250</v>
      </c>
    </row>
    <row r="12" spans="1:4" x14ac:dyDescent="0.3">
      <c r="A12" s="121" t="s">
        <v>96</v>
      </c>
      <c r="B12" s="122">
        <v>200</v>
      </c>
    </row>
    <row r="13" spans="1:4" x14ac:dyDescent="0.3">
      <c r="A13" s="121" t="s">
        <v>97</v>
      </c>
      <c r="B13" s="122">
        <v>250</v>
      </c>
    </row>
    <row r="14" spans="1:4" x14ac:dyDescent="0.3">
      <c r="A14" s="121" t="s">
        <v>98</v>
      </c>
      <c r="B14" s="122">
        <v>200</v>
      </c>
    </row>
    <row r="15" spans="1:4" x14ac:dyDescent="0.3">
      <c r="A15" s="121" t="s">
        <v>99</v>
      </c>
      <c r="B15" s="122">
        <v>200</v>
      </c>
    </row>
    <row r="16" spans="1:4" x14ac:dyDescent="0.3">
      <c r="A16" s="126" t="s">
        <v>100</v>
      </c>
      <c r="B16" s="127">
        <v>150</v>
      </c>
    </row>
    <row r="17" spans="1:2" x14ac:dyDescent="0.3">
      <c r="A17" s="121" t="s">
        <v>117</v>
      </c>
      <c r="B17" s="122">
        <v>650</v>
      </c>
    </row>
    <row r="18" spans="1:2" x14ac:dyDescent="0.3">
      <c r="A18" s="121" t="s">
        <v>118</v>
      </c>
      <c r="B18" s="122">
        <v>350</v>
      </c>
    </row>
    <row r="19" spans="1:2" x14ac:dyDescent="0.3">
      <c r="A19" s="126" t="s">
        <v>119</v>
      </c>
      <c r="B19" s="127">
        <v>500</v>
      </c>
    </row>
    <row r="20" spans="1:2" x14ac:dyDescent="0.3">
      <c r="A20" s="121" t="s">
        <v>121</v>
      </c>
      <c r="B20" s="122">
        <v>550</v>
      </c>
    </row>
    <row r="21" spans="1:2" x14ac:dyDescent="0.3">
      <c r="A21" s="121" t="s">
        <v>122</v>
      </c>
      <c r="B21" s="122">
        <v>600</v>
      </c>
    </row>
    <row r="22" spans="1:2" x14ac:dyDescent="0.3">
      <c r="A22" s="121" t="s">
        <v>123</v>
      </c>
      <c r="B22" s="122">
        <v>400</v>
      </c>
    </row>
    <row r="23" spans="1:2" x14ac:dyDescent="0.3">
      <c r="A23" s="121" t="s">
        <v>124</v>
      </c>
      <c r="B23" s="122">
        <v>250</v>
      </c>
    </row>
    <row r="24" spans="1:2" x14ac:dyDescent="0.3">
      <c r="A24" s="126" t="s">
        <v>125</v>
      </c>
      <c r="B24" s="127">
        <v>100</v>
      </c>
    </row>
    <row r="25" spans="1:2" x14ac:dyDescent="0.3">
      <c r="A25" s="121" t="s">
        <v>126</v>
      </c>
      <c r="B25" s="122">
        <v>650</v>
      </c>
    </row>
    <row r="26" spans="1:2" x14ac:dyDescent="0.3">
      <c r="A26" s="126" t="s">
        <v>127</v>
      </c>
      <c r="B26" s="127">
        <v>650</v>
      </c>
    </row>
    <row r="27" spans="1:2" x14ac:dyDescent="0.3">
      <c r="A27" s="121" t="s">
        <v>129</v>
      </c>
      <c r="B27" s="122">
        <v>350</v>
      </c>
    </row>
    <row r="28" spans="1:2" x14ac:dyDescent="0.3">
      <c r="A28" s="121" t="s">
        <v>130</v>
      </c>
      <c r="B28" s="122">
        <v>350</v>
      </c>
    </row>
    <row r="29" spans="1:2" x14ac:dyDescent="0.3">
      <c r="A29" s="126" t="s">
        <v>131</v>
      </c>
      <c r="B29" s="127">
        <v>500</v>
      </c>
    </row>
    <row r="30" spans="1:2" x14ac:dyDescent="0.3">
      <c r="A30" s="121" t="s">
        <v>133</v>
      </c>
      <c r="B30" s="122">
        <v>250</v>
      </c>
    </row>
    <row r="31" spans="1:2" x14ac:dyDescent="0.3">
      <c r="A31" s="121" t="s">
        <v>134</v>
      </c>
      <c r="B31" s="122">
        <v>250</v>
      </c>
    </row>
    <row r="32" spans="1:2" x14ac:dyDescent="0.3">
      <c r="A32" s="121" t="s">
        <v>135</v>
      </c>
      <c r="B32" s="122">
        <v>400</v>
      </c>
    </row>
    <row r="33" spans="1:2" x14ac:dyDescent="0.3">
      <c r="A33" s="126" t="s">
        <v>136</v>
      </c>
      <c r="B33" s="127">
        <v>500</v>
      </c>
    </row>
    <row r="34" spans="1:2" x14ac:dyDescent="0.3">
      <c r="A34" s="121" t="s">
        <v>141</v>
      </c>
      <c r="B34" s="122">
        <v>600</v>
      </c>
    </row>
    <row r="35" spans="1:2" x14ac:dyDescent="0.3">
      <c r="A35" s="121" t="s">
        <v>142</v>
      </c>
      <c r="B35" s="122">
        <v>600</v>
      </c>
    </row>
    <row r="36" spans="1:2" x14ac:dyDescent="0.3">
      <c r="A36" s="121" t="s">
        <v>143</v>
      </c>
      <c r="B36" s="122">
        <v>600</v>
      </c>
    </row>
    <row r="37" spans="1:2" x14ac:dyDescent="0.3">
      <c r="A37" s="121" t="s">
        <v>144</v>
      </c>
      <c r="B37" s="122">
        <v>600</v>
      </c>
    </row>
    <row r="38" spans="1:2" x14ac:dyDescent="0.3">
      <c r="A38" s="121" t="s">
        <v>145</v>
      </c>
      <c r="B38" s="122">
        <v>550</v>
      </c>
    </row>
    <row r="39" spans="1:2" x14ac:dyDescent="0.3">
      <c r="A39" s="121" t="s">
        <v>146</v>
      </c>
      <c r="B39" s="122">
        <v>550</v>
      </c>
    </row>
    <row r="40" spans="1:2" x14ac:dyDescent="0.3">
      <c r="A40" s="121" t="s">
        <v>147</v>
      </c>
      <c r="B40" s="122">
        <v>550</v>
      </c>
    </row>
    <row r="41" spans="1:2" x14ac:dyDescent="0.3">
      <c r="A41" s="121" t="s">
        <v>148</v>
      </c>
      <c r="B41" s="122">
        <v>550</v>
      </c>
    </row>
    <row r="42" spans="1:2" x14ac:dyDescent="0.3">
      <c r="A42" s="121" t="s">
        <v>149</v>
      </c>
      <c r="B42" s="122">
        <v>500</v>
      </c>
    </row>
    <row r="43" spans="1:2" x14ac:dyDescent="0.3">
      <c r="A43" s="121" t="s">
        <v>150</v>
      </c>
      <c r="B43" s="122">
        <v>500</v>
      </c>
    </row>
    <row r="44" spans="1:2" x14ac:dyDescent="0.3">
      <c r="A44" s="121" t="s">
        <v>151</v>
      </c>
      <c r="B44" s="122">
        <v>450</v>
      </c>
    </row>
    <row r="45" spans="1:2" x14ac:dyDescent="0.3">
      <c r="A45" s="121" t="s">
        <v>152</v>
      </c>
      <c r="B45" s="122">
        <v>400</v>
      </c>
    </row>
    <row r="46" spans="1:2" x14ac:dyDescent="0.3">
      <c r="A46" s="121" t="s">
        <v>153</v>
      </c>
      <c r="B46" s="122">
        <v>400</v>
      </c>
    </row>
    <row r="47" spans="1:2" x14ac:dyDescent="0.3">
      <c r="A47" s="121" t="s">
        <v>154</v>
      </c>
      <c r="B47" s="122">
        <v>350</v>
      </c>
    </row>
    <row r="48" spans="1:2" x14ac:dyDescent="0.3">
      <c r="A48" s="121" t="s">
        <v>155</v>
      </c>
      <c r="B48" s="122">
        <v>350</v>
      </c>
    </row>
    <row r="49" spans="1:2" x14ac:dyDescent="0.3">
      <c r="A49" s="121" t="s">
        <v>156</v>
      </c>
      <c r="B49" s="122">
        <v>350</v>
      </c>
    </row>
    <row r="50" spans="1:2" x14ac:dyDescent="0.3">
      <c r="A50" s="121" t="s">
        <v>157</v>
      </c>
      <c r="B50" s="122">
        <v>350</v>
      </c>
    </row>
    <row r="51" spans="1:2" x14ac:dyDescent="0.3">
      <c r="A51" s="121" t="s">
        <v>158</v>
      </c>
      <c r="B51" s="122">
        <v>250</v>
      </c>
    </row>
    <row r="52" spans="1:2" x14ac:dyDescent="0.3">
      <c r="A52" s="121" t="s">
        <v>159</v>
      </c>
      <c r="B52" s="122">
        <v>250</v>
      </c>
    </row>
    <row r="53" spans="1:2" x14ac:dyDescent="0.3">
      <c r="A53" s="121" t="s">
        <v>160</v>
      </c>
      <c r="B53" s="122">
        <v>300</v>
      </c>
    </row>
    <row r="54" spans="1:2" x14ac:dyDescent="0.3">
      <c r="A54" s="121" t="s">
        <v>161</v>
      </c>
      <c r="B54" s="122">
        <v>300</v>
      </c>
    </row>
    <row r="55" spans="1:2" x14ac:dyDescent="0.3">
      <c r="A55" s="121" t="s">
        <v>162</v>
      </c>
      <c r="B55" s="122">
        <v>300</v>
      </c>
    </row>
    <row r="56" spans="1:2" x14ac:dyDescent="0.3">
      <c r="A56" s="121" t="s">
        <v>163</v>
      </c>
      <c r="B56" s="122">
        <v>250</v>
      </c>
    </row>
    <row r="57" spans="1:2" x14ac:dyDescent="0.3">
      <c r="A57" s="121" t="s">
        <v>164</v>
      </c>
      <c r="B57" s="122">
        <v>250</v>
      </c>
    </row>
    <row r="58" spans="1:2" x14ac:dyDescent="0.3">
      <c r="A58" s="121" t="s">
        <v>165</v>
      </c>
      <c r="B58" s="122">
        <v>200</v>
      </c>
    </row>
    <row r="59" spans="1:2" x14ac:dyDescent="0.3">
      <c r="A59" s="121" t="s">
        <v>166</v>
      </c>
      <c r="B59" s="122">
        <v>150</v>
      </c>
    </row>
    <row r="60" spans="1:2" x14ac:dyDescent="0.3">
      <c r="A60" s="121" t="s">
        <v>167</v>
      </c>
      <c r="B60" s="122">
        <v>200</v>
      </c>
    </row>
    <row r="61" spans="1:2" ht="16.2" thickBot="1" x14ac:dyDescent="0.35">
      <c r="A61" s="124" t="s">
        <v>168</v>
      </c>
      <c r="B61" s="125">
        <v>150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210-6C83-4CC4-AF45-F41CDC53F769}">
  <sheetPr>
    <tabColor theme="7" tint="0.79998168889431442"/>
  </sheetPr>
  <dimension ref="A1:BC10"/>
  <sheetViews>
    <sheetView showZeros="0" workbookViewId="0">
      <selection activeCell="G21" sqref="G21"/>
    </sheetView>
  </sheetViews>
  <sheetFormatPr defaultColWidth="9.33203125" defaultRowHeight="15.6" x14ac:dyDescent="0.3"/>
  <cols>
    <col min="1" max="1" width="18" style="1" customWidth="1"/>
    <col min="2" max="2" width="15.44140625" style="1" bestFit="1" customWidth="1"/>
    <col min="3" max="3" width="9.88671875" style="1" bestFit="1" customWidth="1"/>
    <col min="4" max="11" width="9.33203125" style="1"/>
    <col min="12" max="12" width="10.6640625" style="1" customWidth="1"/>
    <col min="13" max="53" width="9.33203125" style="1"/>
    <col min="54" max="54" width="13.33203125" style="1" bestFit="1" customWidth="1"/>
    <col min="55" max="16384" width="9.33203125" style="1"/>
  </cols>
  <sheetData>
    <row r="1" spans="1:55" ht="16.2" thickBot="1" x14ac:dyDescent="0.35">
      <c r="A1" s="1" t="str">
        <f>_xlfn.CONCAT( "Table of Completions Water Demand for Completions Sites over ",VLOOKUP("decision period", Units!$A$2:$B$11, 2, FALSE),"s [",VLOOKUP("volume", Units!$A$2:$B$11, 2, FALSE),"/", VLOOKUP("time", Units!$A$2:$B$11, 2, FALSE),"]")</f>
        <v>Table of Completions Water Demand for Completions Sites over weeks [bbl/day]</v>
      </c>
    </row>
    <row r="2" spans="1:55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5" s="8" customFormat="1" x14ac:dyDescent="0.3">
      <c r="A3" s="28" t="s">
        <v>117</v>
      </c>
      <c r="B3" s="9">
        <v>0</v>
      </c>
      <c r="C3" s="9">
        <v>45000</v>
      </c>
      <c r="D3" s="9">
        <v>50000</v>
      </c>
      <c r="E3" s="9">
        <v>50000</v>
      </c>
      <c r="F3" s="9">
        <v>50000</v>
      </c>
      <c r="G3" s="9">
        <v>50000</v>
      </c>
      <c r="H3" s="9">
        <v>50000</v>
      </c>
      <c r="I3" s="9">
        <v>50000</v>
      </c>
      <c r="J3" s="9">
        <v>50000</v>
      </c>
      <c r="K3" s="9">
        <v>50000</v>
      </c>
      <c r="L3" s="9">
        <v>37142.857142857145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10714.285714285714</v>
      </c>
      <c r="AU3" s="9">
        <v>45714.285714285717</v>
      </c>
      <c r="AV3" s="9">
        <v>45714.285714285717</v>
      </c>
      <c r="AW3" s="9">
        <v>45714.285714285717</v>
      </c>
      <c r="AX3" s="9">
        <v>45714.285714285717</v>
      </c>
      <c r="AY3" s="9">
        <v>45714.285714285717</v>
      </c>
      <c r="AZ3" s="9">
        <v>22857.142857142859</v>
      </c>
      <c r="BA3" s="31">
        <v>11428.571428571429</v>
      </c>
      <c r="BB3" s="88"/>
    </row>
    <row r="4" spans="1:55" s="8" customFormat="1" x14ac:dyDescent="0.3">
      <c r="A4" s="28" t="s">
        <v>118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40000</v>
      </c>
      <c r="X4" s="9">
        <v>42857.142857142855</v>
      </c>
      <c r="Y4" s="9">
        <v>42857.142857142855</v>
      </c>
      <c r="Z4" s="9">
        <v>42857.142857142855</v>
      </c>
      <c r="AA4" s="9">
        <v>42857.142857142855</v>
      </c>
      <c r="AB4" s="9">
        <v>42857.142857142855</v>
      </c>
      <c r="AC4" s="9">
        <v>42857.142857142855</v>
      </c>
      <c r="AD4" s="9">
        <v>42857.142857142855</v>
      </c>
      <c r="AE4" s="9">
        <v>42857.142857142855</v>
      </c>
      <c r="AF4" s="9">
        <v>42857.142857142855</v>
      </c>
      <c r="AG4" s="9">
        <v>42857.142857142855</v>
      </c>
      <c r="AH4" s="9">
        <v>42857.142857142855</v>
      </c>
      <c r="AI4" s="9">
        <v>42857.142857142855</v>
      </c>
      <c r="AJ4" s="9">
        <v>21428.571428571428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31">
        <v>0</v>
      </c>
      <c r="BB4" s="88"/>
      <c r="BC4" s="82"/>
    </row>
    <row r="5" spans="1:55" ht="16.2" thickBot="1" x14ac:dyDescent="0.35">
      <c r="A5" s="29" t="s">
        <v>119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/>
      <c r="O5" s="10"/>
      <c r="P5" s="10"/>
      <c r="Q5" s="10"/>
      <c r="R5" s="10"/>
      <c r="S5" s="10"/>
      <c r="T5" s="10"/>
      <c r="U5" s="10"/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20000</v>
      </c>
      <c r="AS5" s="10">
        <v>20000</v>
      </c>
      <c r="AT5" s="10">
        <v>20000</v>
      </c>
      <c r="AU5" s="10">
        <v>20000</v>
      </c>
      <c r="AV5" s="10">
        <v>20000</v>
      </c>
      <c r="AW5" s="10">
        <v>20000</v>
      </c>
      <c r="AX5" s="10">
        <v>20000</v>
      </c>
      <c r="AY5" s="10">
        <v>10000</v>
      </c>
      <c r="AZ5" s="10">
        <v>0</v>
      </c>
      <c r="BA5" s="11">
        <v>0</v>
      </c>
      <c r="BB5" s="87"/>
      <c r="BC5" s="81"/>
    </row>
    <row r="9" spans="1:55" x14ac:dyDescent="0.3">
      <c r="B9" s="50"/>
    </row>
    <row r="10" spans="1:55" x14ac:dyDescent="0.3">
      <c r="F10" s="12"/>
    </row>
  </sheetData>
  <phoneticPr fontId="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1D-6CE0-4F02-8B9E-F2818C0A814C}">
  <sheetPr>
    <tabColor theme="7" tint="0.79998168889431442"/>
  </sheetPr>
  <dimension ref="A1:BA20"/>
  <sheetViews>
    <sheetView topLeftCell="A2" workbookViewId="0">
      <selection activeCell="A2" sqref="A1:BA16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3" ht="16.2" thickBot="1" x14ac:dyDescent="0.35">
      <c r="A1" s="1" t="str">
        <f>_xlfn.CONCAT( "Table of Production Rate Forecasts by Pads [",VLOOKUP("volume", Units!$A$2:$B$11, 2, FALSE),"/", VLOOKUP("time", Units!$A$2:$B$11, 2, FALSE),"]")</f>
        <v>Table of Production Rate Forecasts by Pads [bbl/day]</v>
      </c>
    </row>
    <row r="2" spans="1:53" s="8" customFormat="1" x14ac:dyDescent="0.3">
      <c r="A2" s="6" t="s">
        <v>185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87</v>
      </c>
      <c r="B3" s="36">
        <v>5000</v>
      </c>
      <c r="C3" s="36">
        <v>4322.6861565393256</v>
      </c>
      <c r="D3" s="36">
        <v>3969.854054028066</v>
      </c>
      <c r="E3" s="36">
        <v>3737.1231215873463</v>
      </c>
      <c r="F3" s="36">
        <v>3566.0407645411756</v>
      </c>
      <c r="G3" s="36">
        <v>3432.0866325657289</v>
      </c>
      <c r="H3" s="36">
        <v>3322.7633834431954</v>
      </c>
      <c r="I3" s="36">
        <v>3230.8820765937307</v>
      </c>
      <c r="J3" s="36">
        <v>3151.9482420566142</v>
      </c>
      <c r="K3" s="36">
        <v>3082.9750093074108</v>
      </c>
      <c r="L3" s="36">
        <v>3021.8822690895304</v>
      </c>
      <c r="M3" s="36">
        <v>2967.1666749271099</v>
      </c>
      <c r="N3" s="36">
        <v>2917.7084983850377</v>
      </c>
      <c r="O3" s="36">
        <v>2872.652655813135</v>
      </c>
      <c r="P3" s="36">
        <v>2831.3322771886264</v>
      </c>
      <c r="Q3" s="36">
        <v>2793.2178451805498</v>
      </c>
      <c r="R3" s="36">
        <v>2757.8823208879021</v>
      </c>
      <c r="S3" s="36">
        <v>2724.9766064133187</v>
      </c>
      <c r="T3" s="36">
        <v>2694.2118882559803</v>
      </c>
      <c r="U3" s="36">
        <v>2665.3466787379693</v>
      </c>
      <c r="V3" s="36">
        <v>2638.1771376675965</v>
      </c>
      <c r="W3" s="36">
        <v>2612.529730256992</v>
      </c>
      <c r="X3" s="36">
        <v>2588.2555787844931</v>
      </c>
      <c r="Y3" s="36">
        <v>2565.2260619704475</v>
      </c>
      <c r="Z3" s="36">
        <v>2543.3293468738825</v>
      </c>
      <c r="AA3" s="36">
        <v>2522.4676269572292</v>
      </c>
      <c r="AB3" s="36">
        <v>2502.5549013630175</v>
      </c>
      <c r="AC3" s="36">
        <v>2483.5151735658728</v>
      </c>
      <c r="AD3" s="36">
        <v>2465.2809782959771</v>
      </c>
      <c r="AE3" s="36">
        <v>2447.7921678332477</v>
      </c>
      <c r="AF3" s="36">
        <v>2430.9949050140044</v>
      </c>
      <c r="AG3" s="36">
        <v>2414.8408223121137</v>
      </c>
      <c r="AH3" s="36">
        <v>2399.2863153481208</v>
      </c>
      <c r="AI3" s="36">
        <v>2384.2919459733362</v>
      </c>
      <c r="AJ3" s="36">
        <v>2369.8219352566389</v>
      </c>
      <c r="AK3" s="36">
        <v>2355.8437306872729</v>
      </c>
      <c r="AL3" s="36">
        <v>2342.3276349980756</v>
      </c>
      <c r="AM3" s="36">
        <v>2329.2464864295607</v>
      </c>
      <c r="AN3" s="36">
        <v>2316.5753821571975</v>
      </c>
      <c r="AO3" s="36">
        <v>2304.2914381117375</v>
      </c>
      <c r="AP3" s="36">
        <v>2292.3735796250239</v>
      </c>
      <c r="AQ3" s="36">
        <v>2280.8023582988521</v>
      </c>
      <c r="AR3" s="36">
        <v>2269.5597912736284</v>
      </c>
      <c r="AS3" s="36">
        <v>2258.6292197058638</v>
      </c>
      <c r="AT3" s="36">
        <v>2247.995183779557</v>
      </c>
      <c r="AU3" s="36">
        <v>2237.6433119994817</v>
      </c>
      <c r="AV3" s="36">
        <v>2227.5602228629186</v>
      </c>
      <c r="AW3" s="36">
        <v>2217.7334372947093</v>
      </c>
      <c r="AX3" s="36">
        <v>2208.1513004701742</v>
      </c>
      <c r="AY3" s="36">
        <v>2198.8029118503878</v>
      </c>
      <c r="AZ3" s="36">
        <v>2189.6780624218341</v>
      </c>
      <c r="BA3" s="37">
        <v>2180.7671782733241</v>
      </c>
    </row>
    <row r="4" spans="1:53" s="8" customFormat="1" x14ac:dyDescent="0.3">
      <c r="A4" s="28" t="s">
        <v>88</v>
      </c>
      <c r="B4" s="36">
        <v>13000</v>
      </c>
      <c r="C4" s="36">
        <v>10199.593272657759</v>
      </c>
      <c r="D4" s="36">
        <v>8850.1557384298558</v>
      </c>
      <c r="E4" s="36">
        <v>8002.4386867419562</v>
      </c>
      <c r="F4" s="36">
        <v>7401.2291525269902</v>
      </c>
      <c r="G4" s="36">
        <v>6943.6914562817392</v>
      </c>
      <c r="H4" s="36">
        <v>6578.9871524644777</v>
      </c>
      <c r="I4" s="36">
        <v>6278.5861380114975</v>
      </c>
      <c r="J4" s="36">
        <v>6025.0197380356067</v>
      </c>
      <c r="K4" s="36">
        <v>5806.8866979625209</v>
      </c>
      <c r="L4" s="36">
        <v>5616.3726073325097</v>
      </c>
      <c r="M4" s="36">
        <v>5447.9098973001837</v>
      </c>
      <c r="N4" s="36">
        <v>5297.4050229787554</v>
      </c>
      <c r="O4" s="36">
        <v>5161.7687000906553</v>
      </c>
      <c r="P4" s="36">
        <v>5038.6177427439279</v>
      </c>
      <c r="Q4" s="36">
        <v>4926.0788411587946</v>
      </c>
      <c r="R4" s="36">
        <v>4822.655389453148</v>
      </c>
      <c r="S4" s="36">
        <v>4727.1346759767848</v>
      </c>
      <c r="T4" s="36">
        <v>4638.5216926550756</v>
      </c>
      <c r="U4" s="36">
        <v>4555.9909615095667</v>
      </c>
      <c r="V4" s="36">
        <v>4478.8508384953684</v>
      </c>
      <c r="W4" s="36">
        <v>4406.5166355759993</v>
      </c>
      <c r="X4" s="36">
        <v>4338.4900892934511</v>
      </c>
      <c r="Y4" s="36">
        <v>4274.3434721960448</v>
      </c>
      <c r="Z4" s="36">
        <v>4213.7071514011832</v>
      </c>
      <c r="AA4" s="36">
        <v>4156.2597411475017</v>
      </c>
      <c r="AB4" s="36">
        <v>4101.7202314406904</v>
      </c>
      <c r="AC4" s="36">
        <v>4049.8416391123101</v>
      </c>
      <c r="AD4" s="36">
        <v>4000.4058439727946</v>
      </c>
      <c r="AE4" s="36">
        <v>3953.2193563373075</v>
      </c>
      <c r="AF4" s="36">
        <v>3908.1098230304679</v>
      </c>
      <c r="AG4" s="36">
        <v>3864.9231237588433</v>
      </c>
      <c r="AH4" s="36">
        <v>3823.52094307262</v>
      </c>
      <c r="AI4" s="36">
        <v>3783.7787282010004</v>
      </c>
      <c r="AJ4" s="36">
        <v>3745.5839620708166</v>
      </c>
      <c r="AK4" s="36">
        <v>3708.8346953876949</v>
      </c>
      <c r="AL4" s="36">
        <v>3673.4382929104909</v>
      </c>
      <c r="AM4" s="36">
        <v>3639.3103578062914</v>
      </c>
      <c r="AN4" s="36">
        <v>3606.3738048386595</v>
      </c>
      <c r="AO4" s="36">
        <v>3574.5580585617336</v>
      </c>
      <c r="AP4" s="36">
        <v>3543.7983569997164</v>
      </c>
      <c r="AQ4" s="36">
        <v>3514.035144734994</v>
      </c>
      <c r="AR4" s="36">
        <v>3485.2135420978043</v>
      </c>
      <c r="AS4" s="36">
        <v>3457.28287939042</v>
      </c>
      <c r="AT4" s="36">
        <v>3430.1962868999744</v>
      </c>
      <c r="AU4" s="36">
        <v>3403.9103329422956</v>
      </c>
      <c r="AV4" s="36">
        <v>3378.3847034009873</v>
      </c>
      <c r="AW4" s="36">
        <v>3353.5819172337992</v>
      </c>
      <c r="AX4" s="36">
        <v>3329.4670732532813</v>
      </c>
      <c r="AY4" s="36">
        <v>3306.0076241831839</v>
      </c>
      <c r="AZ4" s="36">
        <v>3283.1731745721877</v>
      </c>
      <c r="BA4" s="37">
        <v>3260.9352996327957</v>
      </c>
    </row>
    <row r="5" spans="1:53" x14ac:dyDescent="0.3">
      <c r="A5" s="28" t="s">
        <v>89</v>
      </c>
      <c r="B5" s="36">
        <v>8000</v>
      </c>
      <c r="C5" s="36">
        <v>6727.171322029717</v>
      </c>
      <c r="D5" s="36">
        <v>6078.6854852127399</v>
      </c>
      <c r="E5" s="36">
        <v>5656.8542494923804</v>
      </c>
      <c r="F5" s="36">
        <v>5349.9224398113756</v>
      </c>
      <c r="G5" s="36">
        <v>5111.5448339701798</v>
      </c>
      <c r="H5" s="36">
        <v>4918.3052236101157</v>
      </c>
      <c r="I5" s="36">
        <v>4756.8284600108846</v>
      </c>
      <c r="J5" s="36">
        <v>4618.8021535170055</v>
      </c>
      <c r="K5" s="36">
        <v>4498.7306015227923</v>
      </c>
      <c r="L5" s="36">
        <v>4392.8038942088997</v>
      </c>
      <c r="M5" s="36">
        <v>4298.279727294168</v>
      </c>
      <c r="N5" s="36">
        <v>4213.1231027834128</v>
      </c>
      <c r="O5" s="36">
        <v>4135.7852316573644</v>
      </c>
      <c r="P5" s="36">
        <v>4065.0619852369177</v>
      </c>
      <c r="Q5" s="36">
        <v>4000</v>
      </c>
      <c r="R5" s="36">
        <v>3939.8324840436189</v>
      </c>
      <c r="S5" s="36">
        <v>3883.9341736585875</v>
      </c>
      <c r="T5" s="36">
        <v>3831.7890035485975</v>
      </c>
      <c r="U5" s="36">
        <v>3782.9664360127035</v>
      </c>
      <c r="V5" s="36">
        <v>3737.1038218256008</v>
      </c>
      <c r="W5" s="36">
        <v>3693.8930475528209</v>
      </c>
      <c r="X5" s="36">
        <v>3653.0702839738501</v>
      </c>
      <c r="Y5" s="36">
        <v>3614.4080144393793</v>
      </c>
      <c r="Z5" s="36">
        <v>3577.7087639996635</v>
      </c>
      <c r="AA5" s="36">
        <v>3542.800114153179</v>
      </c>
      <c r="AB5" s="36">
        <v>3509.5307012066469</v>
      </c>
      <c r="AC5" s="36">
        <v>3477.7669755599313</v>
      </c>
      <c r="AD5" s="36">
        <v>3447.390555671248</v>
      </c>
      <c r="AE5" s="36">
        <v>3418.2960511698725</v>
      </c>
      <c r="AF5" s="36">
        <v>3390.3892593201731</v>
      </c>
      <c r="AG5" s="36">
        <v>3363.5856610148585</v>
      </c>
      <c r="AH5" s="36">
        <v>3337.8091588892048</v>
      </c>
      <c r="AI5" s="36">
        <v>3312.9910125324163</v>
      </c>
      <c r="AJ5" s="36">
        <v>3289.0689352041582</v>
      </c>
      <c r="AK5" s="36">
        <v>3265.9863237109048</v>
      </c>
      <c r="AL5" s="36">
        <v>3243.6915987101593</v>
      </c>
      <c r="AM5" s="36">
        <v>3222.1376370926187</v>
      </c>
      <c r="AN5" s="36">
        <v>3201.2812815379993</v>
      </c>
      <c r="AO5" s="36">
        <v>3181.0829150682025</v>
      </c>
      <c r="AP5" s="36">
        <v>3161.5060905952382</v>
      </c>
      <c r="AQ5" s="36">
        <v>3142.5172072041037</v>
      </c>
      <c r="AR5" s="36">
        <v>3124.0852263161291</v>
      </c>
      <c r="AS5" s="36">
        <v>3106.1814220177857</v>
      </c>
      <c r="AT5" s="36">
        <v>3088.7791607687177</v>
      </c>
      <c r="AU5" s="36">
        <v>3071.8537064634797</v>
      </c>
      <c r="AV5" s="36">
        <v>3055.382047447627</v>
      </c>
      <c r="AW5" s="36">
        <v>3039.3427426063699</v>
      </c>
      <c r="AX5" s="36">
        <v>3023.7157840738182</v>
      </c>
      <c r="AY5" s="36">
        <v>3008.482474469115</v>
      </c>
      <c r="AZ5" s="36">
        <v>2993.6253168656999</v>
      </c>
      <c r="BA5" s="37">
        <v>2979.1279159518585</v>
      </c>
    </row>
    <row r="6" spans="1:53" x14ac:dyDescent="0.3">
      <c r="A6" s="28" t="s">
        <v>90</v>
      </c>
      <c r="B6" s="36">
        <v>2000</v>
      </c>
      <c r="C6" s="36">
        <v>1972.4654089867183</v>
      </c>
      <c r="D6" s="36">
        <v>1956.534771458342</v>
      </c>
      <c r="E6" s="36">
        <v>1945.3098948245711</v>
      </c>
      <c r="F6" s="36">
        <v>1936.6475714512596</v>
      </c>
      <c r="G6" s="36">
        <v>1929.598579090657</v>
      </c>
      <c r="H6" s="36">
        <v>1923.6587614095988</v>
      </c>
      <c r="I6" s="36">
        <v>1918.5282386505287</v>
      </c>
      <c r="J6" s="36">
        <v>1914.0141559627739</v>
      </c>
      <c r="K6" s="36">
        <v>1909.9851720428717</v>
      </c>
      <c r="L6" s="36">
        <v>1906.3478193082774</v>
      </c>
      <c r="M6" s="36">
        <v>1903.0332252431219</v>
      </c>
      <c r="N6" s="36">
        <v>1899.9891837835946</v>
      </c>
      <c r="O6" s="36">
        <v>1897.1751827873345</v>
      </c>
      <c r="P6" s="36">
        <v>1894.5591568023724</v>
      </c>
      <c r="Q6" s="36">
        <v>1892.115293451192</v>
      </c>
      <c r="R6" s="36">
        <v>1889.8225082424747</v>
      </c>
      <c r="S6" s="36">
        <v>1887.6633574737407</v>
      </c>
      <c r="T6" s="36">
        <v>1885.6232464552254</v>
      </c>
      <c r="U6" s="36">
        <v>1883.6898417660555</v>
      </c>
      <c r="V6" s="36">
        <v>1881.8526275591835</v>
      </c>
      <c r="W6" s="36">
        <v>1880.1025655414201</v>
      </c>
      <c r="X6" s="36">
        <v>1878.4318308654294</v>
      </c>
      <c r="Y6" s="36">
        <v>1876.8336044722441</v>
      </c>
      <c r="Z6" s="36">
        <v>1875.301908004031</v>
      </c>
      <c r="AA6" s="36">
        <v>1873.8314712310246</v>
      </c>
      <c r="AB6" s="36">
        <v>1872.4176246023287</v>
      </c>
      <c r="AC6" s="36">
        <v>1871.0562114180359</v>
      </c>
      <c r="AD6" s="36">
        <v>1869.7435154762538</v>
      </c>
      <c r="AE6" s="36">
        <v>1868.4762010358615</v>
      </c>
      <c r="AF6" s="36">
        <v>1867.2512626632654</v>
      </c>
      <c r="AG6" s="36">
        <v>1866.0659830736149</v>
      </c>
      <c r="AH6" s="36">
        <v>1864.917897485215</v>
      </c>
      <c r="AI6" s="36">
        <v>1863.8047633163992</v>
      </c>
      <c r="AJ6" s="36">
        <v>1862.7245342924191</v>
      </c>
      <c r="AK6" s="36">
        <v>1861.675338214342</v>
      </c>
      <c r="AL6" s="36">
        <v>1860.6554577858703</v>
      </c>
      <c r="AM6" s="36">
        <v>1859.6633140070851</v>
      </c>
      <c r="AN6" s="36">
        <v>1858.6974517336789</v>
      </c>
      <c r="AO6" s="36">
        <v>1857.7565270716048</v>
      </c>
      <c r="AP6" s="36">
        <v>1856.8392963342751</v>
      </c>
      <c r="AQ6" s="36">
        <v>1855.9446063356277</v>
      </c>
      <c r="AR6" s="36">
        <v>1855.0713858298161</v>
      </c>
      <c r="AS6" s="36">
        <v>1854.2186379388179</v>
      </c>
      <c r="AT6" s="36">
        <v>1853.3854334343193</v>
      </c>
      <c r="AU6" s="36">
        <v>1852.570904760825</v>
      </c>
      <c r="AV6" s="36">
        <v>1851.7742407040305</v>
      </c>
      <c r="AW6" s="36">
        <v>1850.9946816226807</v>
      </c>
      <c r="AX6" s="36">
        <v>1850.231515173956</v>
      </c>
      <c r="AY6" s="36">
        <v>1849.484072472372</v>
      </c>
      <c r="AZ6" s="36">
        <v>1848.751724630511</v>
      </c>
      <c r="BA6" s="37">
        <v>1848.0338796369435</v>
      </c>
    </row>
    <row r="7" spans="1:53" x14ac:dyDescent="0.3">
      <c r="A7" s="28" t="s">
        <v>91</v>
      </c>
      <c r="B7" s="36">
        <v>1500</v>
      </c>
      <c r="C7" s="36">
        <v>1489.6387431555538</v>
      </c>
      <c r="D7" s="36">
        <v>1483.6110062582561</v>
      </c>
      <c r="E7" s="36">
        <v>1479.3490567400388</v>
      </c>
      <c r="F7" s="36">
        <v>1476.0516650451866</v>
      </c>
      <c r="G7" s="36">
        <v>1473.3629564628634</v>
      </c>
      <c r="H7" s="36">
        <v>1471.0935070843725</v>
      </c>
      <c r="I7" s="36">
        <v>1469.1304463803901</v>
      </c>
      <c r="J7" s="36">
        <v>1467.4010785937567</v>
      </c>
      <c r="K7" s="36">
        <v>1465.855831433716</v>
      </c>
      <c r="L7" s="36">
        <v>1464.4593871875766</v>
      </c>
      <c r="M7" s="36">
        <v>1463.185695118194</v>
      </c>
      <c r="N7" s="36">
        <v>1462.014990263966</v>
      </c>
      <c r="O7" s="36">
        <v>1460.9319219716406</v>
      </c>
      <c r="P7" s="36">
        <v>1459.9243307112424</v>
      </c>
      <c r="Q7" s="36">
        <v>1458.9824211184282</v>
      </c>
      <c r="R7" s="36">
        <v>1458.0981866022551</v>
      </c>
      <c r="S7" s="36">
        <v>1457.264998947672</v>
      </c>
      <c r="T7" s="36">
        <v>1456.47730921636</v>
      </c>
      <c r="U7" s="36">
        <v>1455.7304255894398</v>
      </c>
      <c r="V7" s="36">
        <v>1455.0203455636217</v>
      </c>
      <c r="W7" s="36">
        <v>1454.3436272883025</v>
      </c>
      <c r="X7" s="36">
        <v>1453.6972895770316</v>
      </c>
      <c r="Y7" s="36">
        <v>1453.0787332527013</v>
      </c>
      <c r="Z7" s="36">
        <v>1452.4856785884447</v>
      </c>
      <c r="AA7" s="36">
        <v>1451.9161150475954</v>
      </c>
      <c r="AB7" s="36">
        <v>1451.368260531289</v>
      </c>
      <c r="AC7" s="36">
        <v>1450.8405280544412</v>
      </c>
      <c r="AD7" s="36">
        <v>1450.3314982826462</v>
      </c>
      <c r="AE7" s="36">
        <v>1449.8398967352721</v>
      </c>
      <c r="AF7" s="36">
        <v>1449.3645747347953</v>
      </c>
      <c r="AG7" s="36">
        <v>1448.9044933872683</v>
      </c>
      <c r="AH7" s="36">
        <v>1448.4587100331396</v>
      </c>
      <c r="AI7" s="36">
        <v>1448.0263667250501</v>
      </c>
      <c r="AJ7" s="36">
        <v>1447.6066803793672</v>
      </c>
      <c r="AK7" s="36">
        <v>1447.1989343179928</v>
      </c>
      <c r="AL7" s="36">
        <v>1446.8024709714539</v>
      </c>
      <c r="AM7" s="36">
        <v>1446.4166855570945</v>
      </c>
      <c r="AN7" s="36">
        <v>1446.0410205801179</v>
      </c>
      <c r="AO7" s="36">
        <v>1445.6749610322354</v>
      </c>
      <c r="AP7" s="36">
        <v>1445.3180301843809</v>
      </c>
      <c r="AQ7" s="36">
        <v>1444.9697858874356</v>
      </c>
      <c r="AR7" s="36">
        <v>1444.6298173091068</v>
      </c>
      <c r="AS7" s="36">
        <v>1444.2977420466909</v>
      </c>
      <c r="AT7" s="36">
        <v>1443.9732035649447</v>
      </c>
      <c r="AU7" s="36">
        <v>1443.6558689161097</v>
      </c>
      <c r="AV7" s="36">
        <v>1443.345426705622</v>
      </c>
      <c r="AW7" s="36">
        <v>1443.0415852724118</v>
      </c>
      <c r="AX7" s="36">
        <v>1442.7440710571991</v>
      </c>
      <c r="AY7" s="36">
        <v>1442.4526271359553</v>
      </c>
      <c r="AZ7" s="36">
        <v>1442.1670118988732</v>
      </c>
      <c r="BA7" s="37">
        <v>1441.8869978578632</v>
      </c>
    </row>
    <row r="8" spans="1:53" x14ac:dyDescent="0.3">
      <c r="A8" s="28" t="s">
        <v>92</v>
      </c>
      <c r="B8" s="36">
        <v>7000</v>
      </c>
      <c r="C8" s="36">
        <v>6221.898768165991</v>
      </c>
      <c r="D8" s="36">
        <v>5807.4760401588037</v>
      </c>
      <c r="E8" s="36">
        <v>5530.2891830436402</v>
      </c>
      <c r="F8" s="36">
        <v>5324.4302147288327</v>
      </c>
      <c r="G8" s="36">
        <v>5161.9325743453664</v>
      </c>
      <c r="H8" s="36">
        <v>5028.4180100381773</v>
      </c>
      <c r="I8" s="36">
        <v>4915.5570650829904</v>
      </c>
      <c r="J8" s="36">
        <v>4818.1111367169406</v>
      </c>
      <c r="K8" s="36">
        <v>4732.5808277438728</v>
      </c>
      <c r="L8" s="36">
        <v>4656.5179727278037</v>
      </c>
      <c r="M8" s="36">
        <v>4588.1459893821911</v>
      </c>
      <c r="N8" s="36">
        <v>4526.1367373932235</v>
      </c>
      <c r="O8" s="36">
        <v>4469.4725460686032</v>
      </c>
      <c r="P8" s="36">
        <v>4417.3572713621843</v>
      </c>
      <c r="Q8" s="36">
        <v>4369.1569211556416</v>
      </c>
      <c r="R8" s="36">
        <v>4324.3588238182838</v>
      </c>
      <c r="S8" s="36">
        <v>4282.5428209179963</v>
      </c>
      <c r="T8" s="36">
        <v>4243.3604852194348</v>
      </c>
      <c r="U8" s="36">
        <v>4206.5198317693694</v>
      </c>
      <c r="V8" s="36">
        <v>4171.7738733142469</v>
      </c>
      <c r="W8" s="36">
        <v>4138.9119197797027</v>
      </c>
      <c r="X8" s="36">
        <v>4107.7528713082074</v>
      </c>
      <c r="Y8" s="36">
        <v>4078.1399827861128</v>
      </c>
      <c r="Z8" s="36">
        <v>4049.9367302167598</v>
      </c>
      <c r="AA8" s="36">
        <v>4023.0235129911052</v>
      </c>
      <c r="AB8" s="36">
        <v>3997.2949979008467</v>
      </c>
      <c r="AC8" s="36">
        <v>3972.6579612479945</v>
      </c>
      <c r="AD8" s="36">
        <v>3949.0295214644389</v>
      </c>
      <c r="AE8" s="36">
        <v>3926.3356807482082</v>
      </c>
      <c r="AF8" s="36">
        <v>3904.5101133406311</v>
      </c>
      <c r="AG8" s="36">
        <v>3883.4931522374568</v>
      </c>
      <c r="AH8" s="36">
        <v>3863.2309367407947</v>
      </c>
      <c r="AI8" s="36">
        <v>3843.6746912889594</v>
      </c>
      <c r="AJ8" s="36">
        <v>3824.7801121334146</v>
      </c>
      <c r="AK8" s="36">
        <v>3806.5068431553982</v>
      </c>
      <c r="AL8" s="36">
        <v>3788.8180257828722</v>
      </c>
      <c r="AM8" s="36">
        <v>3771.6799108387199</v>
      </c>
      <c r="AN8" s="36">
        <v>3755.0615224133835</v>
      </c>
      <c r="AO8" s="36">
        <v>3738.934365650236</v>
      </c>
      <c r="AP8" s="36">
        <v>3723.27217176562</v>
      </c>
      <c r="AQ8" s="36">
        <v>3708.0506747772829</v>
      </c>
      <c r="AR8" s="36">
        <v>3693.247415345732</v>
      </c>
      <c r="AS8" s="36">
        <v>3678.841567889267</v>
      </c>
      <c r="AT8" s="36">
        <v>3664.8137877510226</v>
      </c>
      <c r="AU8" s="36">
        <v>3651.1460757032646</v>
      </c>
      <c r="AV8" s="36">
        <v>3637.8216574921394</v>
      </c>
      <c r="AW8" s="36">
        <v>3624.8248764721993</v>
      </c>
      <c r="AX8" s="36">
        <v>3612.141097668044</v>
      </c>
      <c r="AY8" s="36">
        <v>3599.7566218408374</v>
      </c>
      <c r="AZ8" s="36">
        <v>3587.6586083391417</v>
      </c>
      <c r="BA8" s="37">
        <v>3575.8350056831673</v>
      </c>
    </row>
    <row r="9" spans="1:53" x14ac:dyDescent="0.3">
      <c r="A9" s="28" t="s">
        <v>93</v>
      </c>
      <c r="B9" s="36">
        <v>10000</v>
      </c>
      <c r="C9" s="36">
        <v>8122.5239635623548</v>
      </c>
      <c r="D9" s="36">
        <v>7192.2309332486448</v>
      </c>
      <c r="E9" s="36">
        <v>6597.5395538644725</v>
      </c>
      <c r="F9" s="36">
        <v>6170.3386272000962</v>
      </c>
      <c r="G9" s="36">
        <v>5841.9068106786553</v>
      </c>
      <c r="H9" s="36">
        <v>5577.8982530324602</v>
      </c>
      <c r="I9" s="36">
        <v>5358.8673126814656</v>
      </c>
      <c r="J9" s="36">
        <v>5172.8185797178658</v>
      </c>
      <c r="K9" s="36">
        <v>5011.8723362727224</v>
      </c>
      <c r="L9" s="36">
        <v>4870.5969722582849</v>
      </c>
      <c r="M9" s="36">
        <v>4745.1028062635505</v>
      </c>
      <c r="N9" s="36">
        <v>4632.5167075036716</v>
      </c>
      <c r="O9" s="36">
        <v>4530.6612226568759</v>
      </c>
      <c r="P9" s="36">
        <v>4437.8500343167507</v>
      </c>
      <c r="Q9" s="36">
        <v>4352.7528164806208</v>
      </c>
      <c r="R9" s="36">
        <v>4274.3031778825944</v>
      </c>
      <c r="S9" s="36">
        <v>4201.6342872918949</v>
      </c>
      <c r="T9" s="36">
        <v>4134.0328157583217</v>
      </c>
      <c r="U9" s="36">
        <v>4070.9053153690443</v>
      </c>
      <c r="V9" s="36">
        <v>4011.7532357973632</v>
      </c>
      <c r="W9" s="36">
        <v>3956.1540624022168</v>
      </c>
      <c r="X9" s="36">
        <v>3903.7468715365872</v>
      </c>
      <c r="Y9" s="36">
        <v>3854.221125344267</v>
      </c>
      <c r="Z9" s="36">
        <v>3807.3078774317578</v>
      </c>
      <c r="AA9" s="36">
        <v>3762.7727968301556</v>
      </c>
      <c r="AB9" s="36">
        <v>3720.4105801130149</v>
      </c>
      <c r="AC9" s="36">
        <v>3680.0404351813195</v>
      </c>
      <c r="AD9" s="36">
        <v>3641.5024009228405</v>
      </c>
      <c r="AE9" s="36">
        <v>3604.6543250433829</v>
      </c>
      <c r="AF9" s="36">
        <v>3569.3693647162872</v>
      </c>
      <c r="AG9" s="36">
        <v>3535.533905932738</v>
      </c>
      <c r="AH9" s="36">
        <v>3503.0458207263232</v>
      </c>
      <c r="AI9" s="36">
        <v>3471.8129989882109</v>
      </c>
      <c r="AJ9" s="36">
        <v>3441.7521049278134</v>
      </c>
      <c r="AK9" s="36">
        <v>3412.7875184653662</v>
      </c>
      <c r="AL9" s="36">
        <v>3384.8504297562549</v>
      </c>
      <c r="AM9" s="36">
        <v>3357.8780612150126</v>
      </c>
      <c r="AN9" s="36">
        <v>3331.8129962499065</v>
      </c>
      <c r="AO9" s="36">
        <v>3306.602597747843</v>
      </c>
      <c r="AP9" s="36">
        <v>3282.1985023960347</v>
      </c>
      <c r="AQ9" s="36">
        <v>3258.5561793662905</v>
      </c>
      <c r="AR9" s="36">
        <v>3235.6345438522353</v>
      </c>
      <c r="AS9" s="36">
        <v>3213.3956175406574</v>
      </c>
      <c r="AT9" s="36">
        <v>3191.8042293931485</v>
      </c>
      <c r="AU9" s="36">
        <v>3170.8277511737506</v>
      </c>
      <c r="AV9" s="36">
        <v>3150.435863029214</v>
      </c>
      <c r="AW9" s="36">
        <v>3130.6003451477072</v>
      </c>
      <c r="AX9" s="36">
        <v>3111.2948921182569</v>
      </c>
      <c r="AY9" s="36">
        <v>3092.4949471099171</v>
      </c>
      <c r="AZ9" s="36">
        <v>3074.177553405018</v>
      </c>
      <c r="BA9" s="37">
        <v>3056.3212211693481</v>
      </c>
    </row>
    <row r="10" spans="1:53" x14ac:dyDescent="0.3">
      <c r="A10" s="28" t="s">
        <v>94</v>
      </c>
      <c r="B10" s="36">
        <v>4000</v>
      </c>
      <c r="C10" s="36">
        <v>3758.0909968560477</v>
      </c>
      <c r="D10" s="36">
        <v>3623.4233477429475</v>
      </c>
      <c r="E10" s="36">
        <v>3530.8119851626197</v>
      </c>
      <c r="F10" s="36">
        <v>3460.6102591729646</v>
      </c>
      <c r="G10" s="36">
        <v>3404.2886652376924</v>
      </c>
      <c r="H10" s="36">
        <v>3357.3851697212299</v>
      </c>
      <c r="I10" s="36">
        <v>3317.2781832577666</v>
      </c>
      <c r="J10" s="36">
        <v>3282.2991892421769</v>
      </c>
      <c r="K10" s="36">
        <v>3251.3220646563968</v>
      </c>
      <c r="L10" s="36">
        <v>3223.5517724029387</v>
      </c>
      <c r="M10" s="36">
        <v>3198.4066458822153</v>
      </c>
      <c r="N10" s="36">
        <v>3175.4486166577544</v>
      </c>
      <c r="O10" s="36">
        <v>3154.3397448268415</v>
      </c>
      <c r="P10" s="36">
        <v>3134.8140026315227</v>
      </c>
      <c r="Q10" s="36">
        <v>3116.6583186419994</v>
      </c>
      <c r="R10" s="36">
        <v>3099.6994654264145</v>
      </c>
      <c r="S10" s="36">
        <v>3083.7947580197319</v>
      </c>
      <c r="T10" s="36">
        <v>3068.8253093815633</v>
      </c>
      <c r="U10" s="36">
        <v>3054.6910447661548</v>
      </c>
      <c r="V10" s="36">
        <v>3041.3069528334559</v>
      </c>
      <c r="W10" s="36">
        <v>3028.6002234417097</v>
      </c>
      <c r="X10" s="36">
        <v>3016.5080323094526</v>
      </c>
      <c r="Y10" s="36">
        <v>3004.9758050436249</v>
      </c>
      <c r="Z10" s="36">
        <v>2993.9558414732924</v>
      </c>
      <c r="AA10" s="36">
        <v>2983.4062143101241</v>
      </c>
      <c r="AB10" s="36">
        <v>2973.2898791444627</v>
      </c>
      <c r="AC10" s="36">
        <v>2963.5739490147384</v>
      </c>
      <c r="AD10" s="36">
        <v>2954.2290984128526</v>
      </c>
      <c r="AE10" s="36">
        <v>2945.2290700269486</v>
      </c>
      <c r="AF10" s="36">
        <v>2936.5502637248223</v>
      </c>
      <c r="AG10" s="36">
        <v>2928.171391891251</v>
      </c>
      <c r="AH10" s="36">
        <v>2920.0731886957419</v>
      </c>
      <c r="AI10" s="36">
        <v>2912.2381634946273</v>
      </c>
      <c r="AJ10" s="36">
        <v>2904.6503905831128</v>
      </c>
      <c r="AK10" s="36">
        <v>2897.2953290664568</v>
      </c>
      <c r="AL10" s="36">
        <v>2890.1596678289084</v>
      </c>
      <c r="AM10" s="36">
        <v>2883.2311915277064</v>
      </c>
      <c r="AN10" s="36">
        <v>2876.4986642889385</v>
      </c>
      <c r="AO10" s="36">
        <v>2869.9517283781202</v>
      </c>
      <c r="AP10" s="36">
        <v>2863.5808155954423</v>
      </c>
      <c r="AQ10" s="36">
        <v>2857.3770695297776</v>
      </c>
      <c r="AR10" s="36">
        <v>2851.3322771165826</v>
      </c>
      <c r="AS10" s="36">
        <v>2845.4388081981256</v>
      </c>
      <c r="AT10" s="36">
        <v>2839.689561991645</v>
      </c>
      <c r="AU10" s="36">
        <v>2834.0779195415262</v>
      </c>
      <c r="AV10" s="36">
        <v>2828.5977013723036</v>
      </c>
      <c r="AW10" s="36">
        <v>2823.2431296761747</v>
      </c>
      <c r="AX10" s="36">
        <v>2818.0087944660131</v>
      </c>
      <c r="AY10" s="36">
        <v>2812.8896232063375</v>
      </c>
      <c r="AZ10" s="36">
        <v>2807.8808535031012</v>
      </c>
      <c r="BA10" s="37">
        <v>2802.9780084908152</v>
      </c>
    </row>
    <row r="11" spans="1:53" x14ac:dyDescent="0.3">
      <c r="A11" s="28" t="s">
        <v>95</v>
      </c>
      <c r="B11" s="36">
        <v>5000</v>
      </c>
      <c r="C11" s="36">
        <v>4322.6861565393256</v>
      </c>
      <c r="D11" s="36">
        <v>3969.854054028066</v>
      </c>
      <c r="E11" s="36">
        <v>3737.1231215873463</v>
      </c>
      <c r="F11" s="36">
        <v>3566.0407645411756</v>
      </c>
      <c r="G11" s="36">
        <v>3432.0866325657289</v>
      </c>
      <c r="H11" s="36">
        <v>3322.7633834431954</v>
      </c>
      <c r="I11" s="36">
        <v>3230.8820765937307</v>
      </c>
      <c r="J11" s="36">
        <v>3151.9482420566142</v>
      </c>
      <c r="K11" s="36">
        <v>3082.9750093074108</v>
      </c>
      <c r="L11" s="36">
        <v>3021.8822690895304</v>
      </c>
      <c r="M11" s="36">
        <v>2967.1666749271099</v>
      </c>
      <c r="N11" s="36">
        <v>2917.7084983850377</v>
      </c>
      <c r="O11" s="36">
        <v>2872.652655813135</v>
      </c>
      <c r="P11" s="36">
        <v>2831.3322771886264</v>
      </c>
      <c r="Q11" s="36">
        <v>2793.2178451805498</v>
      </c>
      <c r="R11" s="36">
        <v>2757.8823208879021</v>
      </c>
      <c r="S11" s="36">
        <v>2724.9766064133187</v>
      </c>
      <c r="T11" s="36">
        <v>2694.2118882559803</v>
      </c>
      <c r="U11" s="36">
        <v>2665.3466787379693</v>
      </c>
      <c r="V11" s="36">
        <v>2638.1771376675965</v>
      </c>
      <c r="W11" s="36">
        <v>2612.529730256992</v>
      </c>
      <c r="X11" s="36">
        <v>2588.2555787844931</v>
      </c>
      <c r="Y11" s="36">
        <v>2565.2260619704475</v>
      </c>
      <c r="Z11" s="36">
        <v>2543.3293468738825</v>
      </c>
      <c r="AA11" s="36">
        <v>2522.4676269572292</v>
      </c>
      <c r="AB11" s="36">
        <v>2502.5549013630175</v>
      </c>
      <c r="AC11" s="36">
        <v>2483.5151735658728</v>
      </c>
      <c r="AD11" s="36">
        <v>2465.2809782959771</v>
      </c>
      <c r="AE11" s="36">
        <v>2447.7921678332477</v>
      </c>
      <c r="AF11" s="36">
        <v>2430.9949050140044</v>
      </c>
      <c r="AG11" s="36">
        <v>2414.8408223121137</v>
      </c>
      <c r="AH11" s="36">
        <v>2399.2863153481208</v>
      </c>
      <c r="AI11" s="36">
        <v>2384.2919459733362</v>
      </c>
      <c r="AJ11" s="36">
        <v>2369.8219352566389</v>
      </c>
      <c r="AK11" s="36">
        <v>2355.8437306872729</v>
      </c>
      <c r="AL11" s="36">
        <v>2342.3276349980756</v>
      </c>
      <c r="AM11" s="36">
        <v>2329.2464864295607</v>
      </c>
      <c r="AN11" s="36">
        <v>2316.5753821571975</v>
      </c>
      <c r="AO11" s="36">
        <v>2304.2914381117375</v>
      </c>
      <c r="AP11" s="36">
        <v>2292.3735796250239</v>
      </c>
      <c r="AQ11" s="36">
        <v>2280.8023582988521</v>
      </c>
      <c r="AR11" s="36">
        <v>2269.5597912736284</v>
      </c>
      <c r="AS11" s="36">
        <v>2258.6292197058638</v>
      </c>
      <c r="AT11" s="36">
        <v>2247.995183779557</v>
      </c>
      <c r="AU11" s="36">
        <v>2237.6433119994817</v>
      </c>
      <c r="AV11" s="36">
        <v>2227.5602228629186</v>
      </c>
      <c r="AW11" s="36">
        <v>2217.7334372947093</v>
      </c>
      <c r="AX11" s="36">
        <v>2208.1513004701742</v>
      </c>
      <c r="AY11" s="36">
        <v>2198.8029118503878</v>
      </c>
      <c r="AZ11" s="36">
        <v>2189.6780624218341</v>
      </c>
      <c r="BA11" s="37">
        <v>2180.7671782733241</v>
      </c>
    </row>
    <row r="12" spans="1:53" x14ac:dyDescent="0.3">
      <c r="A12" s="28" t="s">
        <v>96</v>
      </c>
      <c r="B12" s="36">
        <v>6000</v>
      </c>
      <c r="C12" s="36">
        <v>5223.3033797767448</v>
      </c>
      <c r="D12" s="36">
        <v>4816.4493705613831</v>
      </c>
      <c r="E12" s="36">
        <v>4547.1496995311945</v>
      </c>
      <c r="F12" s="36">
        <v>4348.6779820661732</v>
      </c>
      <c r="G12" s="36">
        <v>4192.9627126294754</v>
      </c>
      <c r="H12" s="36">
        <v>4065.6654804028858</v>
      </c>
      <c r="I12" s="36">
        <v>3958.5237323186834</v>
      </c>
      <c r="J12" s="36">
        <v>3866.3640898635254</v>
      </c>
      <c r="K12" s="36">
        <v>3785.7440668811596</v>
      </c>
      <c r="L12" s="36">
        <v>3714.263524103073</v>
      </c>
      <c r="M12" s="36">
        <v>3650.1860513592346</v>
      </c>
      <c r="N12" s="36">
        <v>3592.2171332489861</v>
      </c>
      <c r="O12" s="36">
        <v>3539.3673741383395</v>
      </c>
      <c r="P12" s="36">
        <v>3490.8645549161279</v>
      </c>
      <c r="Q12" s="36">
        <v>3446.0950649911051</v>
      </c>
      <c r="R12" s="36">
        <v>3404.5637140294803</v>
      </c>
      <c r="S12" s="36">
        <v>3365.8654363385986</v>
      </c>
      <c r="T12" s="36">
        <v>3329.6649169701259</v>
      </c>
      <c r="U12" s="36">
        <v>3295.6816299183533</v>
      </c>
      <c r="V12" s="36">
        <v>3263.6786573332711</v>
      </c>
      <c r="W12" s="36">
        <v>3233.4542031381775</v>
      </c>
      <c r="X12" s="36">
        <v>3204.8350610653138</v>
      </c>
      <c r="Y12" s="36">
        <v>3177.6715231464364</v>
      </c>
      <c r="Z12" s="36">
        <v>3151.8333652845204</v>
      </c>
      <c r="AA12" s="36">
        <v>3127.2066488318937</v>
      </c>
      <c r="AB12" s="36">
        <v>3103.6911478307197</v>
      </c>
      <c r="AC12" s="36">
        <v>3081.1982612680545</v>
      </c>
      <c r="AD12" s="36">
        <v>3059.6493051328334</v>
      </c>
      <c r="AE12" s="36">
        <v>3038.974104672709</v>
      </c>
      <c r="AF12" s="36">
        <v>3019.1098259910832</v>
      </c>
      <c r="AG12" s="36">
        <v>3000</v>
      </c>
      <c r="AH12" s="36">
        <v>2981.5937021275595</v>
      </c>
      <c r="AI12" s="36">
        <v>2963.8448590259086</v>
      </c>
      <c r="AJ12" s="36">
        <v>2946.7116595124194</v>
      </c>
      <c r="AK12" s="36">
        <v>2930.1560515835217</v>
      </c>
      <c r="AL12" s="36">
        <v>2914.1433109148475</v>
      </c>
      <c r="AM12" s="36">
        <v>2898.6416690556853</v>
      </c>
      <c r="AN12" s="36">
        <v>2883.6219917261501</v>
      </c>
      <c r="AO12" s="36">
        <v>2869.0574993701111</v>
      </c>
      <c r="AP12" s="36">
        <v>2854.9235235089736</v>
      </c>
      <c r="AQ12" s="36">
        <v>2841.197293559017</v>
      </c>
      <c r="AR12" s="36">
        <v>2827.8577496773496</v>
      </c>
      <c r="AS12" s="36">
        <v>2814.8853779341607</v>
      </c>
      <c r="AT12" s="36">
        <v>2802.2620647068052</v>
      </c>
      <c r="AU12" s="36">
        <v>2789.9709676815769</v>
      </c>
      <c r="AV12" s="36">
        <v>2777.9964012530409</v>
      </c>
      <c r="AW12" s="36">
        <v>2766.3237344451832</v>
      </c>
      <c r="AX12" s="36">
        <v>2754.9392997566047</v>
      </c>
      <c r="AY12" s="36">
        <v>2743.8303115639583</v>
      </c>
      <c r="AZ12" s="36">
        <v>2732.9847929122366</v>
      </c>
      <c r="BA12" s="37">
        <v>2722.3915096839892</v>
      </c>
    </row>
    <row r="13" spans="1:53" x14ac:dyDescent="0.3">
      <c r="A13" s="28" t="s">
        <v>97</v>
      </c>
      <c r="B13" s="36">
        <v>1750</v>
      </c>
      <c r="C13" s="36">
        <v>1702.1461579714996</v>
      </c>
      <c r="D13" s="36">
        <v>1674.7623864674272</v>
      </c>
      <c r="E13" s="36">
        <v>1655.600881769793</v>
      </c>
      <c r="F13" s="36">
        <v>1640.889169503527</v>
      </c>
      <c r="G13" s="36">
        <v>1628.9659209375493</v>
      </c>
      <c r="H13" s="36">
        <v>1618.9525757772117</v>
      </c>
      <c r="I13" s="36">
        <v>1610.3283885935316</v>
      </c>
      <c r="J13" s="36">
        <v>1602.7594577863267</v>
      </c>
      <c r="K13" s="36">
        <v>1596.0189688728419</v>
      </c>
      <c r="L13" s="36">
        <v>1589.9458785793731</v>
      </c>
      <c r="M13" s="36">
        <v>1584.4217621659172</v>
      </c>
      <c r="N13" s="36">
        <v>1579.3570180914096</v>
      </c>
      <c r="O13" s="36">
        <v>1574.6822324555681</v>
      </c>
      <c r="P13" s="36">
        <v>1570.3425493978752</v>
      </c>
      <c r="Q13" s="36">
        <v>1566.2938741239516</v>
      </c>
      <c r="R13" s="36">
        <v>1562.5002367886971</v>
      </c>
      <c r="S13" s="36">
        <v>1558.9319161277031</v>
      </c>
      <c r="T13" s="36">
        <v>1555.5640745629005</v>
      </c>
      <c r="U13" s="36">
        <v>1552.3757462380245</v>
      </c>
      <c r="V13" s="36">
        <v>1549.3490739349891</v>
      </c>
      <c r="W13" s="36">
        <v>1546.4687249180001</v>
      </c>
      <c r="X13" s="36">
        <v>1543.7214376536967</v>
      </c>
      <c r="Y13" s="36">
        <v>1541.0956657583708</v>
      </c>
      <c r="Z13" s="36">
        <v>1538.5812951965572</v>
      </c>
      <c r="AA13" s="36">
        <v>1536.1694173769242</v>
      </c>
      <c r="AB13" s="36">
        <v>1533.8521454031247</v>
      </c>
      <c r="AC13" s="36">
        <v>1531.6224640001308</v>
      </c>
      <c r="AD13" s="36">
        <v>1529.4741059786563</v>
      </c>
      <c r="AE13" s="36">
        <v>1527.4014498038646</v>
      </c>
      <c r="AF13" s="36">
        <v>1525.3994340889319</v>
      </c>
      <c r="AG13" s="36">
        <v>1523.4634857682172</v>
      </c>
      <c r="AH13" s="36">
        <v>1521.5894594077952</v>
      </c>
      <c r="AI13" s="36">
        <v>1519.7735856453937</v>
      </c>
      <c r="AJ13" s="36">
        <v>1518.0124271615227</v>
      </c>
      <c r="AK13" s="36">
        <v>1516.3028409005246</v>
      </c>
      <c r="AL13" s="36">
        <v>1514.6419455074022</v>
      </c>
      <c r="AM13" s="36">
        <v>1513.0270931404186</v>
      </c>
      <c r="AN13" s="36">
        <v>1511.4558449730564</v>
      </c>
      <c r="AO13" s="36">
        <v>1509.925949821253</v>
      </c>
      <c r="AP13" s="36">
        <v>1508.4353254298849</v>
      </c>
      <c r="AQ13" s="36">
        <v>1506.9820420315102</v>
      </c>
      <c r="AR13" s="36">
        <v>1505.5643078544922</v>
      </c>
      <c r="AS13" s="36">
        <v>1504.1804563098617</v>
      </c>
      <c r="AT13" s="36">
        <v>1502.8289346291026</v>
      </c>
      <c r="AU13" s="36">
        <v>1501.5082937602742</v>
      </c>
      <c r="AV13" s="36">
        <v>1500.217179359058</v>
      </c>
      <c r="AW13" s="36">
        <v>1498.9543237355094</v>
      </c>
      <c r="AX13" s="36">
        <v>1497.7185386375245</v>
      </c>
      <c r="AY13" s="36">
        <v>1496.5087087689335</v>
      </c>
      <c r="AZ13" s="36">
        <v>1495.323785954376</v>
      </c>
      <c r="BA13" s="37">
        <v>1494.1627838751133</v>
      </c>
    </row>
    <row r="14" spans="1:53" x14ac:dyDescent="0.3">
      <c r="A14" s="28" t="s">
        <v>98</v>
      </c>
      <c r="B14" s="36">
        <v>2200</v>
      </c>
      <c r="C14" s="36">
        <v>2081.3268227963113</v>
      </c>
      <c r="D14" s="36">
        <v>2014.8976040742393</v>
      </c>
      <c r="E14" s="36">
        <v>1969.0551560415392</v>
      </c>
      <c r="F14" s="36">
        <v>1934.2164853899576</v>
      </c>
      <c r="G14" s="36">
        <v>1906.2092857035166</v>
      </c>
      <c r="H14" s="36">
        <v>1882.8461628586024</v>
      </c>
      <c r="I14" s="36">
        <v>1862.8396871975599</v>
      </c>
      <c r="J14" s="36">
        <v>1845.369252229141</v>
      </c>
      <c r="K14" s="36">
        <v>1829.8802964258762</v>
      </c>
      <c r="L14" s="36">
        <v>1815.9808564850209</v>
      </c>
      <c r="M14" s="36">
        <v>1803.3838709991478</v>
      </c>
      <c r="N14" s="36">
        <v>1791.8729467128478</v>
      </c>
      <c r="O14" s="36">
        <v>1781.2810099803276</v>
      </c>
      <c r="P14" s="36">
        <v>1771.4764373514188</v>
      </c>
      <c r="Q14" s="36">
        <v>1762.3537306971687</v>
      </c>
      <c r="R14" s="36">
        <v>1753.8270621787476</v>
      </c>
      <c r="S14" s="36">
        <v>1745.8256921036739</v>
      </c>
      <c r="T14" s="36">
        <v>1738.2906442957108</v>
      </c>
      <c r="U14" s="36">
        <v>1731.1722470262005</v>
      </c>
      <c r="V14" s="36">
        <v>1724.4282829018969</v>
      </c>
      <c r="W14" s="36">
        <v>1718.022575584951</v>
      </c>
      <c r="X14" s="36">
        <v>1711.9238953657182</v>
      </c>
      <c r="Y14" s="36">
        <v>1706.1051011403495</v>
      </c>
      <c r="Z14" s="36">
        <v>1700.5424601610362</v>
      </c>
      <c r="AA14" s="36">
        <v>1695.2151031984158</v>
      </c>
      <c r="AB14" s="36">
        <v>1690.1045840676215</v>
      </c>
      <c r="AC14" s="36">
        <v>1685.1945204589813</v>
      </c>
      <c r="AD14" s="36">
        <v>1680.4702987396779</v>
      </c>
      <c r="AE14" s="36">
        <v>1675.918829550526</v>
      </c>
      <c r="AF14" s="36">
        <v>1671.528344078836</v>
      </c>
      <c r="AG14" s="36">
        <v>1667.2882231614381</v>
      </c>
      <c r="AH14" s="36">
        <v>1663.1888530801609</v>
      </c>
      <c r="AI14" s="36">
        <v>1659.2215032084914</v>
      </c>
      <c r="AJ14" s="36">
        <v>1655.3782216610605</v>
      </c>
      <c r="AK14" s="36">
        <v>1651.6517458646865</v>
      </c>
      <c r="AL14" s="36">
        <v>1648.0354255670156</v>
      </c>
      <c r="AM14" s="36">
        <v>1644.5231562675197</v>
      </c>
      <c r="AN14" s="36">
        <v>1641.1093214259836</v>
      </c>
      <c r="AO14" s="36">
        <v>1637.788742098269</v>
      </c>
      <c r="AP14" s="36">
        <v>1634.5566328850537</v>
      </c>
      <c r="AQ14" s="36">
        <v>1631.4085632692288</v>
      </c>
      <c r="AR14" s="36">
        <v>1628.3404235715354</v>
      </c>
      <c r="AS14" s="36">
        <v>1625.348394879346</v>
      </c>
      <c r="AT14" s="36">
        <v>1622.4289224060653</v>
      </c>
      <c r="AU14" s="36">
        <v>1619.5786918230067</v>
      </c>
      <c r="AV14" s="36">
        <v>1616.7946081753157</v>
      </c>
      <c r="AW14" s="36">
        <v>1614.073777051374</v>
      </c>
      <c r="AX14" s="36">
        <v>1611.4134877233464</v>
      </c>
      <c r="AY14" s="36">
        <v>1608.8111980169056</v>
      </c>
      <c r="AZ14" s="36">
        <v>1606.2645207020548</v>
      </c>
      <c r="BA14" s="37">
        <v>1603.7712112255813</v>
      </c>
    </row>
    <row r="15" spans="1:53" x14ac:dyDescent="0.3">
      <c r="A15" s="28" t="s">
        <v>99</v>
      </c>
      <c r="B15" s="36">
        <v>1600</v>
      </c>
      <c r="C15" s="36">
        <v>1567.0724761390827</v>
      </c>
      <c r="D15" s="36">
        <v>1548.1261445667083</v>
      </c>
      <c r="E15" s="36">
        <v>1534.822590920423</v>
      </c>
      <c r="F15" s="36">
        <v>1524.5823319713859</v>
      </c>
      <c r="G15" s="36">
        <v>1516.2661692136273</v>
      </c>
      <c r="H15" s="36">
        <v>1509.2703540030011</v>
      </c>
      <c r="I15" s="36">
        <v>1503.2363987424192</v>
      </c>
      <c r="J15" s="36">
        <v>1497.934099681863</v>
      </c>
      <c r="K15" s="36">
        <v>1493.2068812751857</v>
      </c>
      <c r="L15" s="36">
        <v>1488.9434449229723</v>
      </c>
      <c r="M15" s="36">
        <v>1485.0618626722005</v>
      </c>
      <c r="N15" s="36">
        <v>1481.5000896165402</v>
      </c>
      <c r="O15" s="36">
        <v>1478.2100192567457</v>
      </c>
      <c r="P15" s="36">
        <v>1475.1536047933646</v>
      </c>
      <c r="Q15" s="36">
        <v>1472.3002409998003</v>
      </c>
      <c r="R15" s="36">
        <v>1469.6249452098546</v>
      </c>
      <c r="S15" s="36">
        <v>1467.1070616760157</v>
      </c>
      <c r="T15" s="36">
        <v>1464.729318502893</v>
      </c>
      <c r="U15" s="36">
        <v>1462.4771280173895</v>
      </c>
      <c r="V15" s="36">
        <v>1460.338058907186</v>
      </c>
      <c r="W15" s="36">
        <v>1458.3014319165613</v>
      </c>
      <c r="X15" s="36">
        <v>1456.358005964958</v>
      </c>
      <c r="Y15" s="36">
        <v>1454.4997314734026</v>
      </c>
      <c r="Z15" s="36">
        <v>1452.7195543495682</v>
      </c>
      <c r="AA15" s="36">
        <v>1451.0112586472906</v>
      </c>
      <c r="AB15" s="36">
        <v>1449.3693390971791</v>
      </c>
      <c r="AC15" s="36">
        <v>1447.788896956419</v>
      </c>
      <c r="AD15" s="36">
        <v>1446.2655542426335</v>
      </c>
      <c r="AE15" s="36">
        <v>1444.795382593145</v>
      </c>
      <c r="AF15" s="36">
        <v>1443.3748438575749</v>
      </c>
      <c r="AG15" s="36">
        <v>1442.0007401773282</v>
      </c>
      <c r="AH15" s="36">
        <v>1440.6701717915464</v>
      </c>
      <c r="AI15" s="36">
        <v>1439.3805011786069</v>
      </c>
      <c r="AJ15" s="36">
        <v>1438.129322425734</v>
      </c>
      <c r="AK15" s="36">
        <v>1436.9144349386054</v>
      </c>
      <c r="AL15" s="36">
        <v>1435.7338207739301</v>
      </c>
      <c r="AM15" s="36">
        <v>1434.5856250124002</v>
      </c>
      <c r="AN15" s="36">
        <v>1433.4681386958043</v>
      </c>
      <c r="AO15" s="36">
        <v>1432.3797839368658</v>
      </c>
      <c r="AP15" s="36">
        <v>1431.3191008782969</v>
      </c>
      <c r="AQ15" s="36">
        <v>1430.2847362323912</v>
      </c>
      <c r="AR15" s="36">
        <v>1429.2754331768951</v>
      </c>
      <c r="AS15" s="36">
        <v>1428.2900224191601</v>
      </c>
      <c r="AT15" s="36">
        <v>1427.3274142702708</v>
      </c>
      <c r="AU15" s="36">
        <v>1426.3865915953027</v>
      </c>
      <c r="AV15" s="36">
        <v>1425.4666035261005</v>
      </c>
      <c r="AW15" s="36">
        <v>1424.5665598397852</v>
      </c>
      <c r="AX15" s="36">
        <v>1423.6856259202152</v>
      </c>
      <c r="AY15" s="36">
        <v>1422.8230182314016</v>
      </c>
      <c r="AZ15" s="36">
        <v>1421.9780002417453</v>
      </c>
      <c r="BA15" s="37">
        <v>1421.1498787463106</v>
      </c>
    </row>
    <row r="16" spans="1:53" ht="16.2" thickBot="1" x14ac:dyDescent="0.35">
      <c r="A16" s="29" t="s">
        <v>100</v>
      </c>
      <c r="B16" s="46">
        <v>3200</v>
      </c>
      <c r="C16" s="38">
        <v>2924.2606407340818</v>
      </c>
      <c r="D16" s="38">
        <v>2774.1134322504104</v>
      </c>
      <c r="E16" s="38">
        <v>2672.2813421707824</v>
      </c>
      <c r="F16" s="38">
        <v>2595.8756087541533</v>
      </c>
      <c r="G16" s="38">
        <v>2535.0721008942523</v>
      </c>
      <c r="H16" s="38">
        <v>2484.7759398383523</v>
      </c>
      <c r="I16" s="38">
        <v>2442.0147343368944</v>
      </c>
      <c r="J16" s="38">
        <v>2404.9079171850481</v>
      </c>
      <c r="K16" s="38">
        <v>2372.1927721629354</v>
      </c>
      <c r="L16" s="38">
        <v>2342.9818765345308</v>
      </c>
      <c r="M16" s="38">
        <v>2316.628614396288</v>
      </c>
      <c r="N16" s="38">
        <v>2292.6477980832383</v>
      </c>
      <c r="O16" s="38">
        <v>2270.6664005976036</v>
      </c>
      <c r="P16" s="38">
        <v>2250.3916858425341</v>
      </c>
      <c r="Q16" s="38">
        <v>2231.5898661606484</v>
      </c>
      <c r="R16" s="38">
        <v>2214.0713822640323</v>
      </c>
      <c r="S16" s="38">
        <v>2197.6804896293797</v>
      </c>
      <c r="T16" s="38">
        <v>2182.2877268038114</v>
      </c>
      <c r="U16" s="38">
        <v>2167.7843612093579</v>
      </c>
      <c r="V16" s="38">
        <v>2154.0782221369409</v>
      </c>
      <c r="W16" s="38">
        <v>2141.0905260947525</v>
      </c>
      <c r="X16" s="38">
        <v>2128.7534246083073</v>
      </c>
      <c r="Y16" s="38">
        <v>2117.0080863366866</v>
      </c>
      <c r="Z16" s="38">
        <v>2105.8031800389836</v>
      </c>
      <c r="AA16" s="38">
        <v>2095.0936621876472</v>
      </c>
      <c r="AB16" s="38">
        <v>2084.8397988713746</v>
      </c>
      <c r="AC16" s="38">
        <v>2075.0063698452805</v>
      </c>
      <c r="AD16" s="38">
        <v>2065.5620156119448</v>
      </c>
      <c r="AE16" s="38">
        <v>2056.4786978576685</v>
      </c>
      <c r="AF16" s="38">
        <v>2047.7312504957936</v>
      </c>
      <c r="AG16" s="38">
        <v>2039.2970037108191</v>
      </c>
      <c r="AH16" s="38">
        <v>2031.1554672542859</v>
      </c>
      <c r="AI16" s="38">
        <v>2023.2880621657537</v>
      </c>
      <c r="AJ16" s="38">
        <v>2015.6778923267364</v>
      </c>
      <c r="AK16" s="38">
        <v>2008.309548978875</v>
      </c>
      <c r="AL16" s="38">
        <v>2001.1689426776709</v>
      </c>
      <c r="AM16" s="38">
        <v>1994.2431582029492</v>
      </c>
      <c r="AN16" s="38">
        <v>1987.5203287756367</v>
      </c>
      <c r="AO16" s="38">
        <v>1980.9895265885623</v>
      </c>
      <c r="AP16" s="38">
        <v>1974.6406671851364</v>
      </c>
      <c r="AQ16" s="38">
        <v>1968.4644256429697</v>
      </c>
      <c r="AR16" s="38">
        <v>1962.4521628618058</v>
      </c>
      <c r="AS16" s="38">
        <v>1956.5958605335979</v>
      </c>
      <c r="AT16" s="38">
        <v>1950.8880636001311</v>
      </c>
      <c r="AU16" s="38">
        <v>1945.3218291906121</v>
      </c>
      <c r="AV16" s="38">
        <v>1939.8906811859529</v>
      </c>
      <c r="AW16" s="38">
        <v>1934.5885696844221</v>
      </c>
      <c r="AX16" s="38">
        <v>1929.4098347498648</v>
      </c>
      <c r="AY16" s="38">
        <v>1924.3491739127076</v>
      </c>
      <c r="AZ16" s="38">
        <v>1919.4016129687138</v>
      </c>
      <c r="BA16" s="39">
        <v>1914.5624796833633</v>
      </c>
    </row>
    <row r="17" spans="2:3" x14ac:dyDescent="0.3">
      <c r="B17" s="49"/>
      <c r="C17" s="50"/>
    </row>
    <row r="19" spans="2:3" x14ac:dyDescent="0.3">
      <c r="B19" s="50"/>
    </row>
    <row r="20" spans="2:3" x14ac:dyDescent="0.3">
      <c r="B20" s="50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6333-AE69-4574-92B2-6BE3A00DF612}">
  <sheetPr>
    <tabColor theme="7" tint="0.79998168889431442"/>
  </sheetPr>
  <dimension ref="A1:BA8"/>
  <sheetViews>
    <sheetView workbookViewId="0">
      <selection activeCell="BA2" sqref="BA2"/>
    </sheetView>
  </sheetViews>
  <sheetFormatPr defaultColWidth="9.33203125" defaultRowHeight="15.6" x14ac:dyDescent="0.3"/>
  <cols>
    <col min="1" max="1" width="17.109375" style="8" customWidth="1"/>
    <col min="2" max="2" width="14.33203125" style="1" bestFit="1" customWidth="1"/>
    <col min="3" max="13" width="9.33203125" style="1"/>
    <col min="14" max="15" width="11.33203125" style="1" bestFit="1" customWidth="1"/>
    <col min="16" max="23" width="10.109375" style="1" bestFit="1" customWidth="1"/>
    <col min="24" max="16384" width="9.33203125" style="1"/>
  </cols>
  <sheetData>
    <row r="1" spans="1:53" ht="16.2" thickBot="1" x14ac:dyDescent="0.35">
      <c r="A1" s="1" t="str">
        <f>_xlfn.CONCAT( "Table of Flowback Rate Forecasts by Pads [",VLOOKUP("volume", Units!$A$2:$B$11, 2, FALSE),"/", VLOOKUP("time", Units!$A$2:$B$11, 2, FALSE),"]")</f>
        <v>Table of Flowback Rate Forecasts by Pads [bbl/day]</v>
      </c>
    </row>
    <row r="2" spans="1:53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x14ac:dyDescent="0.3">
      <c r="A3" s="28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>
        <f>8*4000</f>
        <v>32000</v>
      </c>
      <c r="O3" s="36">
        <f>$N3*(VALUE(RIGHT(C$2,2)))^(-0.35)</f>
        <v>25106.691132696025</v>
      </c>
      <c r="P3" s="36">
        <f t="shared" ref="P3:BA3" si="0">$N3*(VALUE(RIGHT(D$2,2)))^(-0.35)</f>
        <v>21784.998740750412</v>
      </c>
      <c r="Q3" s="36">
        <f t="shared" si="0"/>
        <v>19698.310613518661</v>
      </c>
      <c r="R3" s="36">
        <f t="shared" si="0"/>
        <v>18218.4102216049</v>
      </c>
      <c r="S3" s="36">
        <f t="shared" si="0"/>
        <v>17092.163584693513</v>
      </c>
      <c r="T3" s="36">
        <f t="shared" si="0"/>
        <v>16194.429913758715</v>
      </c>
      <c r="U3" s="36">
        <f t="shared" si="0"/>
        <v>15454.981262797532</v>
      </c>
      <c r="V3" s="36">
        <f t="shared" si="0"/>
        <v>14830.817816703033</v>
      </c>
      <c r="W3" s="36">
        <f t="shared" si="0"/>
        <v>14293.87494883082</v>
      </c>
      <c r="X3" s="36">
        <f t="shared" si="0"/>
        <v>13824.917187280023</v>
      </c>
      <c r="Y3" s="36">
        <f t="shared" si="0"/>
        <v>13410.239747200454</v>
      </c>
      <c r="Z3" s="36">
        <f t="shared" si="0"/>
        <v>13039.766210409243</v>
      </c>
      <c r="AA3" s="36">
        <f t="shared" si="0"/>
        <v>12705.892184838536</v>
      </c>
      <c r="AB3" s="36">
        <f t="shared" si="0"/>
        <v>12402.751366754284</v>
      </c>
      <c r="AC3" s="36">
        <f t="shared" si="0"/>
        <v>12125.732532083186</v>
      </c>
      <c r="AD3" s="36">
        <f t="shared" si="0"/>
        <v>11871.151727884671</v>
      </c>
      <c r="AE3" s="36">
        <f t="shared" si="0"/>
        <v>11636.02381778901</v>
      </c>
      <c r="AF3" s="36">
        <f t="shared" si="0"/>
        <v>11417.899551150955</v>
      </c>
      <c r="AG3" s="36">
        <f t="shared" si="0"/>
        <v>11214.746982177396</v>
      </c>
      <c r="AH3" s="36">
        <f t="shared" si="0"/>
        <v>11024.863602450137</v>
      </c>
      <c r="AI3" s="36">
        <f t="shared" si="0"/>
        <v>10846.810179879381</v>
      </c>
      <c r="AJ3" s="36">
        <f t="shared" si="0"/>
        <v>10679.360219799264</v>
      </c>
      <c r="AK3" s="36">
        <f t="shared" si="0"/>
        <v>10521.460854636418</v>
      </c>
      <c r="AL3" s="36">
        <f t="shared" si="0"/>
        <v>10372.202218833681</v>
      </c>
      <c r="AM3" s="36">
        <f t="shared" si="0"/>
        <v>10230.793208978466</v>
      </c>
      <c r="AN3" s="36">
        <f t="shared" si="0"/>
        <v>10096.542108161699</v>
      </c>
      <c r="AO3" s="36">
        <f t="shared" si="0"/>
        <v>9968.8409578149167</v>
      </c>
      <c r="AP3" s="36">
        <f t="shared" si="0"/>
        <v>9847.1528467022636</v>
      </c>
      <c r="AQ3" s="36">
        <f t="shared" si="0"/>
        <v>9731.0014925226023</v>
      </c>
      <c r="AR3" s="36">
        <f t="shared" si="0"/>
        <v>9619.9626413057667</v>
      </c>
      <c r="AS3" s="36">
        <f t="shared" si="0"/>
        <v>9513.6569200217691</v>
      </c>
      <c r="AT3" s="36">
        <f t="shared" si="0"/>
        <v>9411.7438598710651</v>
      </c>
      <c r="AU3" s="36">
        <f t="shared" si="0"/>
        <v>9313.9168694178461</v>
      </c>
      <c r="AV3" s="36">
        <f t="shared" si="0"/>
        <v>9219.8989835589327</v>
      </c>
      <c r="AW3" s="36">
        <f t="shared" si="0"/>
        <v>9129.4392501850962</v>
      </c>
      <c r="AX3" s="36">
        <f t="shared" si="0"/>
        <v>9042.3096440873633</v>
      </c>
      <c r="AY3" s="36">
        <f t="shared" si="0"/>
        <v>8958.3024192154862</v>
      </c>
      <c r="AZ3" s="36">
        <f t="shared" si="0"/>
        <v>8877.2278272951626</v>
      </c>
      <c r="BA3" s="37">
        <f t="shared" si="0"/>
        <v>8798.9121441519601</v>
      </c>
    </row>
    <row r="4" spans="1:53" x14ac:dyDescent="0.3">
      <c r="A4" s="28" t="s">
        <v>118</v>
      </c>
      <c r="B4" s="32"/>
      <c r="C4" s="32"/>
      <c r="D4" s="32"/>
      <c r="E4" s="32"/>
      <c r="F4" s="32"/>
      <c r="G4" s="9"/>
      <c r="H4" s="9"/>
      <c r="I4" s="9"/>
      <c r="J4" s="9"/>
      <c r="K4" s="9"/>
      <c r="L4" s="9"/>
      <c r="M4" s="9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>
        <f>8*4000</f>
        <v>32000</v>
      </c>
      <c r="AM4" s="36">
        <f>$AL4*(VALUE(RIGHT(C$2,2)))^(-0.35)</f>
        <v>25106.691132696025</v>
      </c>
      <c r="AN4" s="36">
        <f t="shared" ref="AN4:BA4" si="1">$AL4*(VALUE(RIGHT(D$2,2)))^(-0.35)</f>
        <v>21784.998740750412</v>
      </c>
      <c r="AO4" s="36">
        <f t="shared" si="1"/>
        <v>19698.310613518661</v>
      </c>
      <c r="AP4" s="36">
        <f t="shared" si="1"/>
        <v>18218.4102216049</v>
      </c>
      <c r="AQ4" s="36">
        <f t="shared" si="1"/>
        <v>17092.163584693513</v>
      </c>
      <c r="AR4" s="36">
        <f t="shared" si="1"/>
        <v>16194.429913758715</v>
      </c>
      <c r="AS4" s="36">
        <f t="shared" si="1"/>
        <v>15454.981262797532</v>
      </c>
      <c r="AT4" s="36">
        <f t="shared" si="1"/>
        <v>14830.817816703033</v>
      </c>
      <c r="AU4" s="36">
        <f t="shared" si="1"/>
        <v>14293.87494883082</v>
      </c>
      <c r="AV4" s="36">
        <f t="shared" si="1"/>
        <v>13824.917187280023</v>
      </c>
      <c r="AW4" s="36">
        <f t="shared" si="1"/>
        <v>13410.239747200454</v>
      </c>
      <c r="AX4" s="36">
        <f t="shared" si="1"/>
        <v>13039.766210409243</v>
      </c>
      <c r="AY4" s="36">
        <f t="shared" si="1"/>
        <v>12705.892184838536</v>
      </c>
      <c r="AZ4" s="36">
        <f t="shared" si="1"/>
        <v>12402.751366754284</v>
      </c>
      <c r="BA4" s="37">
        <f t="shared" si="1"/>
        <v>12125.732532083186</v>
      </c>
    </row>
    <row r="5" spans="1:53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9"/>
    </row>
    <row r="7" spans="1:53" x14ac:dyDescent="0.3">
      <c r="F7" s="12"/>
    </row>
    <row r="8" spans="1:53" x14ac:dyDescent="0.3">
      <c r="A8" s="1"/>
      <c r="B8" s="50"/>
    </row>
  </sheetData>
  <phoneticPr fontId="2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79A3-EE1E-46A1-84CE-D8C5F14D9087}">
  <sheetPr>
    <tabColor theme="7" tint="0.79998168889431442"/>
  </sheetPr>
  <dimension ref="A1:BC23"/>
  <sheetViews>
    <sheetView workbookViewId="0">
      <selection activeCell="A21" sqref="A21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5" ht="16.2" thickBot="1" x14ac:dyDescent="0.35">
      <c r="A1" s="1" t="str">
        <f>_xlfn.CONCAT("Well pressure at production or completions pad [",VLOOKUP("pressure", Units!$A$2:$B$11, 2, FALSE),"]")</f>
        <v>Well pressure at production or completions pad [psi]</v>
      </c>
      <c r="E1" s="1" t="s">
        <v>289</v>
      </c>
      <c r="H1" s="1" t="s">
        <v>290</v>
      </c>
      <c r="O1" s="1" t="s">
        <v>291</v>
      </c>
      <c r="Q1" s="1">
        <v>0.01</v>
      </c>
    </row>
    <row r="2" spans="1:55" s="8" customFormat="1" x14ac:dyDescent="0.3">
      <c r="A2" s="6" t="s">
        <v>256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  <c r="BC2" s="1"/>
    </row>
    <row r="3" spans="1:55" s="8" customFormat="1" x14ac:dyDescent="0.3">
      <c r="A3" s="28" t="s">
        <v>87</v>
      </c>
      <c r="B3" s="36">
        <v>50</v>
      </c>
      <c r="C3" s="36">
        <f>$B3*(VALUE(RIGHT(C$2,2)))^(-0.21)</f>
        <v>43.226861565393257</v>
      </c>
      <c r="D3" s="36">
        <f t="shared" ref="D3:BA3" si="0">$B3*(VALUE(RIGHT(D$2,2)))^(-0.21)</f>
        <v>39.698540540280661</v>
      </c>
      <c r="E3" s="36">
        <f t="shared" si="0"/>
        <v>37.371231215873465</v>
      </c>
      <c r="F3" s="36">
        <f t="shared" si="0"/>
        <v>35.660407645411759</v>
      </c>
      <c r="G3" s="36">
        <f t="shared" si="0"/>
        <v>34.320866325657292</v>
      </c>
      <c r="H3" s="36">
        <f t="shared" si="0"/>
        <v>33.227633834431956</v>
      </c>
      <c r="I3" s="36">
        <f t="shared" si="0"/>
        <v>32.308820765937305</v>
      </c>
      <c r="J3" s="36">
        <f t="shared" si="0"/>
        <v>31.519482420566142</v>
      </c>
      <c r="K3" s="36">
        <f t="shared" si="0"/>
        <v>30.829750093074111</v>
      </c>
      <c r="L3" s="36">
        <f t="shared" si="0"/>
        <v>30.218822690895301</v>
      </c>
      <c r="M3" s="36">
        <f t="shared" si="0"/>
        <v>29.671666749271097</v>
      </c>
      <c r="N3" s="36">
        <f t="shared" si="0"/>
        <v>29.177084983850378</v>
      </c>
      <c r="O3" s="36">
        <f t="shared" si="0"/>
        <v>28.726526558131347</v>
      </c>
      <c r="P3" s="36">
        <f t="shared" si="0"/>
        <v>28.313322771886263</v>
      </c>
      <c r="Q3" s="36">
        <f t="shared" si="0"/>
        <v>27.932178451805502</v>
      </c>
      <c r="R3" s="36">
        <f t="shared" si="0"/>
        <v>27.578823208879022</v>
      </c>
      <c r="S3" s="36">
        <f t="shared" si="0"/>
        <v>27.249766064133183</v>
      </c>
      <c r="T3" s="36">
        <f t="shared" si="0"/>
        <v>26.9421188825598</v>
      </c>
      <c r="U3" s="36">
        <f t="shared" si="0"/>
        <v>26.653466787379692</v>
      </c>
      <c r="V3" s="36">
        <f t="shared" si="0"/>
        <v>26.381771376675967</v>
      </c>
      <c r="W3" s="36">
        <f t="shared" si="0"/>
        <v>26.125297302569923</v>
      </c>
      <c r="X3" s="36">
        <f t="shared" si="0"/>
        <v>25.882555787844929</v>
      </c>
      <c r="Y3" s="36">
        <f t="shared" si="0"/>
        <v>25.652260619704474</v>
      </c>
      <c r="Z3" s="36">
        <f t="shared" si="0"/>
        <v>25.433293468738828</v>
      </c>
      <c r="AA3" s="36">
        <f t="shared" si="0"/>
        <v>25.224676269572292</v>
      </c>
      <c r="AB3" s="36">
        <f t="shared" si="0"/>
        <v>25.025549013630176</v>
      </c>
      <c r="AC3" s="36">
        <f t="shared" si="0"/>
        <v>24.835151735658727</v>
      </c>
      <c r="AD3" s="36">
        <f t="shared" si="0"/>
        <v>24.652809782959771</v>
      </c>
      <c r="AE3" s="36">
        <f t="shared" si="0"/>
        <v>24.477921678332478</v>
      </c>
      <c r="AF3" s="36">
        <f t="shared" si="0"/>
        <v>24.309949050140045</v>
      </c>
      <c r="AG3" s="36">
        <f t="shared" si="0"/>
        <v>24.148408223121137</v>
      </c>
      <c r="AH3" s="36">
        <f t="shared" si="0"/>
        <v>23.992863153481206</v>
      </c>
      <c r="AI3" s="36">
        <f t="shared" si="0"/>
        <v>23.842919459733363</v>
      </c>
      <c r="AJ3" s="36">
        <f t="shared" si="0"/>
        <v>23.69821935256639</v>
      </c>
      <c r="AK3" s="36">
        <f t="shared" si="0"/>
        <v>23.55843730687273</v>
      </c>
      <c r="AL3" s="36">
        <f t="shared" si="0"/>
        <v>23.423276349980753</v>
      </c>
      <c r="AM3" s="36">
        <f t="shared" si="0"/>
        <v>23.292464864295606</v>
      </c>
      <c r="AN3" s="36">
        <f t="shared" si="0"/>
        <v>23.165753821571975</v>
      </c>
      <c r="AO3" s="36">
        <f t="shared" si="0"/>
        <v>23.042914381117377</v>
      </c>
      <c r="AP3" s="36">
        <f t="shared" si="0"/>
        <v>22.923735796250238</v>
      </c>
      <c r="AQ3" s="36">
        <f t="shared" si="0"/>
        <v>22.808023582988525</v>
      </c>
      <c r="AR3" s="36">
        <f t="shared" si="0"/>
        <v>22.695597912736286</v>
      </c>
      <c r="AS3" s="36">
        <f t="shared" si="0"/>
        <v>22.58629219705864</v>
      </c>
      <c r="AT3" s="36">
        <f t="shared" si="0"/>
        <v>22.479951837795571</v>
      </c>
      <c r="AU3" s="36">
        <f t="shared" si="0"/>
        <v>22.376433119994818</v>
      </c>
      <c r="AV3" s="36">
        <f t="shared" si="0"/>
        <v>22.275602228629186</v>
      </c>
      <c r="AW3" s="36">
        <f t="shared" si="0"/>
        <v>22.177334372947094</v>
      </c>
      <c r="AX3" s="36">
        <f t="shared" si="0"/>
        <v>22.08151300470174</v>
      </c>
      <c r="AY3" s="36">
        <f t="shared" si="0"/>
        <v>21.988029118503878</v>
      </c>
      <c r="AZ3" s="36">
        <f t="shared" si="0"/>
        <v>21.896780624218341</v>
      </c>
      <c r="BA3" s="37">
        <f t="shared" si="0"/>
        <v>21.807671782733244</v>
      </c>
      <c r="BB3" s="103"/>
      <c r="BC3" s="1"/>
    </row>
    <row r="4" spans="1:55" s="8" customFormat="1" x14ac:dyDescent="0.3">
      <c r="A4" s="28" t="s">
        <v>88</v>
      </c>
      <c r="B4" s="36">
        <v>130</v>
      </c>
      <c r="C4" s="36">
        <f t="shared" ref="C4:BA4" si="1">$B4*(VALUE(RIGHT(C$2,2)))^(-0.35)</f>
        <v>101.99593272657759</v>
      </c>
      <c r="D4" s="36">
        <f t="shared" si="1"/>
        <v>88.50155738429855</v>
      </c>
      <c r="E4" s="36">
        <f t="shared" si="1"/>
        <v>80.024386867419565</v>
      </c>
      <c r="F4" s="36">
        <f t="shared" si="1"/>
        <v>74.012291525269902</v>
      </c>
      <c r="G4" s="36">
        <f t="shared" si="1"/>
        <v>69.436914562817392</v>
      </c>
      <c r="H4" s="36">
        <f t="shared" si="1"/>
        <v>65.789871524644781</v>
      </c>
      <c r="I4" s="36">
        <f t="shared" si="1"/>
        <v>62.785861380114973</v>
      </c>
      <c r="J4" s="36">
        <f t="shared" si="1"/>
        <v>60.25019738035607</v>
      </c>
      <c r="K4" s="36">
        <f t="shared" si="1"/>
        <v>58.068866979625213</v>
      </c>
      <c r="L4" s="36">
        <f t="shared" si="1"/>
        <v>56.163726073325094</v>
      </c>
      <c r="M4" s="36">
        <f t="shared" si="1"/>
        <v>54.47909897300184</v>
      </c>
      <c r="N4" s="36">
        <f t="shared" si="1"/>
        <v>52.974050229787551</v>
      </c>
      <c r="O4" s="36">
        <f t="shared" si="1"/>
        <v>51.61768700090655</v>
      </c>
      <c r="P4" s="36">
        <f t="shared" si="1"/>
        <v>50.386177427439279</v>
      </c>
      <c r="Q4" s="36">
        <f t="shared" si="1"/>
        <v>49.260788411587939</v>
      </c>
      <c r="R4" s="36">
        <f t="shared" si="1"/>
        <v>48.226553894531477</v>
      </c>
      <c r="S4" s="36">
        <f t="shared" si="1"/>
        <v>47.271346759767852</v>
      </c>
      <c r="T4" s="36">
        <f t="shared" si="1"/>
        <v>46.385216926550754</v>
      </c>
      <c r="U4" s="36">
        <f t="shared" si="1"/>
        <v>45.55990961509567</v>
      </c>
      <c r="V4" s="36">
        <f t="shared" si="1"/>
        <v>44.788508384953687</v>
      </c>
      <c r="W4" s="36">
        <f t="shared" si="1"/>
        <v>44.065166355759992</v>
      </c>
      <c r="X4" s="36">
        <f t="shared" si="1"/>
        <v>43.38490089293451</v>
      </c>
      <c r="Y4" s="36">
        <f t="shared" si="1"/>
        <v>42.743434721960448</v>
      </c>
      <c r="Z4" s="36">
        <f t="shared" si="1"/>
        <v>42.137071514011829</v>
      </c>
      <c r="AA4" s="36">
        <f t="shared" si="1"/>
        <v>41.562597411475018</v>
      </c>
      <c r="AB4" s="36">
        <f t="shared" si="1"/>
        <v>41.017202314406902</v>
      </c>
      <c r="AC4" s="36">
        <f t="shared" si="1"/>
        <v>40.498416391123101</v>
      </c>
      <c r="AD4" s="36">
        <f t="shared" si="1"/>
        <v>40.004058439727942</v>
      </c>
      <c r="AE4" s="36">
        <f t="shared" si="1"/>
        <v>39.532193563373077</v>
      </c>
      <c r="AF4" s="36">
        <f t="shared" si="1"/>
        <v>39.081098230304676</v>
      </c>
      <c r="AG4" s="36">
        <f t="shared" si="1"/>
        <v>38.649231237588431</v>
      </c>
      <c r="AH4" s="36">
        <f t="shared" si="1"/>
        <v>38.235209430726201</v>
      </c>
      <c r="AI4" s="36">
        <f t="shared" si="1"/>
        <v>37.837787282010005</v>
      </c>
      <c r="AJ4" s="36">
        <f t="shared" si="1"/>
        <v>37.455839620708161</v>
      </c>
      <c r="AK4" s="36">
        <f t="shared" si="1"/>
        <v>37.08834695387695</v>
      </c>
      <c r="AL4" s="36">
        <f t="shared" si="1"/>
        <v>36.73438292910491</v>
      </c>
      <c r="AM4" s="36">
        <f t="shared" si="1"/>
        <v>36.393103578062913</v>
      </c>
      <c r="AN4" s="36">
        <f t="shared" si="1"/>
        <v>36.063738048386597</v>
      </c>
      <c r="AO4" s="36">
        <f t="shared" si="1"/>
        <v>35.745580585617333</v>
      </c>
      <c r="AP4" s="36">
        <f t="shared" si="1"/>
        <v>35.437983569997165</v>
      </c>
      <c r="AQ4" s="36">
        <f t="shared" si="1"/>
        <v>35.140351447349943</v>
      </c>
      <c r="AR4" s="36">
        <f t="shared" si="1"/>
        <v>34.852135420978044</v>
      </c>
      <c r="AS4" s="36">
        <f t="shared" si="1"/>
        <v>34.5728287939042</v>
      </c>
      <c r="AT4" s="36">
        <f t="shared" si="1"/>
        <v>34.301962868999745</v>
      </c>
      <c r="AU4" s="36">
        <f t="shared" si="1"/>
        <v>34.039103329422957</v>
      </c>
      <c r="AV4" s="36">
        <f t="shared" si="1"/>
        <v>33.783847034009874</v>
      </c>
      <c r="AW4" s="36">
        <f t="shared" si="1"/>
        <v>33.535819172337995</v>
      </c>
      <c r="AX4" s="36">
        <f t="shared" si="1"/>
        <v>33.294670732532815</v>
      </c>
      <c r="AY4" s="36">
        <f t="shared" si="1"/>
        <v>33.060076241831844</v>
      </c>
      <c r="AZ4" s="36">
        <f t="shared" si="1"/>
        <v>32.831731745721875</v>
      </c>
      <c r="BA4" s="37">
        <f t="shared" si="1"/>
        <v>32.609352996327956</v>
      </c>
      <c r="BB4" s="103"/>
      <c r="BC4" s="1"/>
    </row>
    <row r="5" spans="1:55" x14ac:dyDescent="0.3">
      <c r="A5" s="28" t="s">
        <v>89</v>
      </c>
      <c r="B5" s="36">
        <v>80</v>
      </c>
      <c r="C5" s="36">
        <f>$B5*(VALUE(RIGHT(C$2,2)))^(-0.25)</f>
        <v>67.271713220297173</v>
      </c>
      <c r="D5" s="36">
        <f t="shared" ref="D5:BA5" si="2">$B5*(VALUE(RIGHT(D$2,2)))^(-0.25)</f>
        <v>60.786854852127391</v>
      </c>
      <c r="E5" s="36">
        <f t="shared" si="2"/>
        <v>56.568542494923804</v>
      </c>
      <c r="F5" s="36">
        <f t="shared" si="2"/>
        <v>53.499224398113761</v>
      </c>
      <c r="G5" s="36">
        <f t="shared" si="2"/>
        <v>51.115448339701793</v>
      </c>
      <c r="H5" s="36">
        <f t="shared" si="2"/>
        <v>49.183052236101155</v>
      </c>
      <c r="I5" s="36">
        <f t="shared" si="2"/>
        <v>47.568284600108839</v>
      </c>
      <c r="J5" s="36">
        <f t="shared" si="2"/>
        <v>46.188021535170058</v>
      </c>
      <c r="K5" s="36">
        <f t="shared" si="2"/>
        <v>44.987306015227929</v>
      </c>
      <c r="L5" s="36">
        <f t="shared" si="2"/>
        <v>43.928038942088996</v>
      </c>
      <c r="M5" s="36">
        <f t="shared" si="2"/>
        <v>42.982797272941681</v>
      </c>
      <c r="N5" s="36">
        <f t="shared" si="2"/>
        <v>42.131231027834126</v>
      </c>
      <c r="O5" s="36">
        <f t="shared" si="2"/>
        <v>41.357852316573648</v>
      </c>
      <c r="P5" s="36">
        <f t="shared" si="2"/>
        <v>40.650619852369175</v>
      </c>
      <c r="Q5" s="36">
        <f t="shared" si="2"/>
        <v>40</v>
      </c>
      <c r="R5" s="36">
        <f t="shared" si="2"/>
        <v>39.398324840436189</v>
      </c>
      <c r="S5" s="36">
        <f t="shared" si="2"/>
        <v>38.839341736585872</v>
      </c>
      <c r="T5" s="36">
        <f t="shared" si="2"/>
        <v>38.317890035485973</v>
      </c>
      <c r="U5" s="36">
        <f t="shared" si="2"/>
        <v>37.829664360127033</v>
      </c>
      <c r="V5" s="36">
        <f t="shared" si="2"/>
        <v>37.371038218256004</v>
      </c>
      <c r="W5" s="36">
        <f t="shared" si="2"/>
        <v>36.93893047552821</v>
      </c>
      <c r="X5" s="36">
        <f t="shared" si="2"/>
        <v>36.530702839738503</v>
      </c>
      <c r="Y5" s="36">
        <f t="shared" si="2"/>
        <v>36.14408014439379</v>
      </c>
      <c r="Z5" s="36">
        <f t="shared" si="2"/>
        <v>35.777087639996637</v>
      </c>
      <c r="AA5" s="36">
        <f t="shared" si="2"/>
        <v>35.428001141531794</v>
      </c>
      <c r="AB5" s="36">
        <f t="shared" si="2"/>
        <v>35.095307012066471</v>
      </c>
      <c r="AC5" s="36">
        <f t="shared" si="2"/>
        <v>34.777669755599312</v>
      </c>
      <c r="AD5" s="36">
        <f t="shared" si="2"/>
        <v>34.473905556712481</v>
      </c>
      <c r="AE5" s="36">
        <f t="shared" si="2"/>
        <v>34.182960511698724</v>
      </c>
      <c r="AF5" s="36">
        <f t="shared" si="2"/>
        <v>33.903892593201732</v>
      </c>
      <c r="AG5" s="36">
        <f t="shared" si="2"/>
        <v>33.635856610148586</v>
      </c>
      <c r="AH5" s="36">
        <f t="shared" si="2"/>
        <v>33.378091588892048</v>
      </c>
      <c r="AI5" s="36">
        <f t="shared" si="2"/>
        <v>33.129910125324159</v>
      </c>
      <c r="AJ5" s="36">
        <f t="shared" si="2"/>
        <v>32.890689352041576</v>
      </c>
      <c r="AK5" s="36">
        <f t="shared" si="2"/>
        <v>32.659863237109043</v>
      </c>
      <c r="AL5" s="36">
        <f t="shared" si="2"/>
        <v>32.436915987101592</v>
      </c>
      <c r="AM5" s="36">
        <f t="shared" si="2"/>
        <v>32.221376370926187</v>
      </c>
      <c r="AN5" s="36">
        <f t="shared" si="2"/>
        <v>32.012812815379995</v>
      </c>
      <c r="AO5" s="36">
        <f t="shared" si="2"/>
        <v>31.810829150682025</v>
      </c>
      <c r="AP5" s="36">
        <f t="shared" si="2"/>
        <v>31.615060905952383</v>
      </c>
      <c r="AQ5" s="36">
        <f t="shared" si="2"/>
        <v>31.42517207204104</v>
      </c>
      <c r="AR5" s="36">
        <f t="shared" si="2"/>
        <v>31.24085226316129</v>
      </c>
      <c r="AS5" s="36">
        <f t="shared" si="2"/>
        <v>31.061814220177858</v>
      </c>
      <c r="AT5" s="36">
        <f t="shared" si="2"/>
        <v>30.887791607687177</v>
      </c>
      <c r="AU5" s="36">
        <f t="shared" si="2"/>
        <v>30.718537064634795</v>
      </c>
      <c r="AV5" s="36">
        <f t="shared" si="2"/>
        <v>30.553820474476268</v>
      </c>
      <c r="AW5" s="36">
        <f t="shared" si="2"/>
        <v>30.393427426063695</v>
      </c>
      <c r="AX5" s="36">
        <f t="shared" si="2"/>
        <v>30.237157840738181</v>
      </c>
      <c r="AY5" s="36">
        <f t="shared" si="2"/>
        <v>30.084824744691151</v>
      </c>
      <c r="AZ5" s="36">
        <f t="shared" si="2"/>
        <v>29.936253168657</v>
      </c>
      <c r="BA5" s="37">
        <f t="shared" si="2"/>
        <v>29.791279159518584</v>
      </c>
      <c r="BB5" s="103"/>
    </row>
    <row r="6" spans="1:55" x14ac:dyDescent="0.3">
      <c r="A6" s="28" t="s">
        <v>90</v>
      </c>
      <c r="B6" s="36">
        <v>20</v>
      </c>
      <c r="C6" s="36">
        <f>$B6*(VALUE(RIGHT(C$2,2)))^(-0.02)</f>
        <v>19.724654089867183</v>
      </c>
      <c r="D6" s="36">
        <f t="shared" ref="D6:BA6" si="3">$B6*(VALUE(RIGHT(D$2,2)))^(-0.02)</f>
        <v>19.565347714583421</v>
      </c>
      <c r="E6" s="36">
        <f t="shared" si="3"/>
        <v>19.45309894824571</v>
      </c>
      <c r="F6" s="36">
        <f t="shared" si="3"/>
        <v>19.366475714512596</v>
      </c>
      <c r="G6" s="36">
        <f t="shared" si="3"/>
        <v>19.29598579090657</v>
      </c>
      <c r="H6" s="36">
        <f t="shared" si="3"/>
        <v>19.236587614095988</v>
      </c>
      <c r="I6" s="36">
        <f t="shared" si="3"/>
        <v>19.185282386505286</v>
      </c>
      <c r="J6" s="36">
        <f t="shared" si="3"/>
        <v>19.14014155962774</v>
      </c>
      <c r="K6" s="36">
        <f t="shared" si="3"/>
        <v>19.099851720428717</v>
      </c>
      <c r="L6" s="36">
        <f t="shared" si="3"/>
        <v>19.063478193082773</v>
      </c>
      <c r="M6" s="36">
        <f>$B6*(VALUE(RIGHT(M$2,2)))^(-0.02)</f>
        <v>19.030332252431219</v>
      </c>
      <c r="N6" s="36">
        <f t="shared" si="3"/>
        <v>18.999891837835946</v>
      </c>
      <c r="O6" s="36">
        <f t="shared" si="3"/>
        <v>18.971751827873344</v>
      </c>
      <c r="P6" s="36">
        <f t="shared" si="3"/>
        <v>18.945591568023723</v>
      </c>
      <c r="Q6" s="36">
        <f t="shared" si="3"/>
        <v>18.92115293451192</v>
      </c>
      <c r="R6" s="36">
        <f t="shared" si="3"/>
        <v>18.898225082424748</v>
      </c>
      <c r="S6" s="36">
        <f t="shared" si="3"/>
        <v>18.876633574737408</v>
      </c>
      <c r="T6" s="36">
        <f t="shared" si="3"/>
        <v>18.856232464552253</v>
      </c>
      <c r="U6" s="36">
        <f t="shared" si="3"/>
        <v>18.836898417660557</v>
      </c>
      <c r="V6" s="36">
        <f t="shared" si="3"/>
        <v>18.818526275591836</v>
      </c>
      <c r="W6" s="36">
        <f t="shared" si="3"/>
        <v>18.8010256554142</v>
      </c>
      <c r="X6" s="36">
        <f t="shared" si="3"/>
        <v>18.784318308654296</v>
      </c>
      <c r="Y6" s="36">
        <f t="shared" si="3"/>
        <v>18.768336044722442</v>
      </c>
      <c r="Z6" s="36">
        <f t="shared" si="3"/>
        <v>18.75301908004031</v>
      </c>
      <c r="AA6" s="36">
        <f t="shared" si="3"/>
        <v>18.738314712310245</v>
      </c>
      <c r="AB6" s="36">
        <f t="shared" si="3"/>
        <v>18.724176246023287</v>
      </c>
      <c r="AC6" s="36">
        <f t="shared" si="3"/>
        <v>18.710562114180359</v>
      </c>
      <c r="AD6" s="36">
        <f t="shared" si="3"/>
        <v>18.697435154762537</v>
      </c>
      <c r="AE6" s="36">
        <f t="shared" si="3"/>
        <v>18.684762010358615</v>
      </c>
      <c r="AF6" s="36">
        <f t="shared" si="3"/>
        <v>18.672512626632653</v>
      </c>
      <c r="AG6" s="36">
        <f t="shared" si="3"/>
        <v>18.660659830736147</v>
      </c>
      <c r="AH6" s="36">
        <f t="shared" si="3"/>
        <v>18.649178974852148</v>
      </c>
      <c r="AI6" s="36">
        <f t="shared" si="3"/>
        <v>18.638047633163993</v>
      </c>
      <c r="AJ6" s="36">
        <f t="shared" si="3"/>
        <v>18.627245342924191</v>
      </c>
      <c r="AK6" s="36">
        <f t="shared" si="3"/>
        <v>18.616753382143422</v>
      </c>
      <c r="AL6" s="36">
        <f t="shared" si="3"/>
        <v>18.606554577858702</v>
      </c>
      <c r="AM6" s="36">
        <f t="shared" si="3"/>
        <v>18.59663314007085</v>
      </c>
      <c r="AN6" s="36">
        <f t="shared" si="3"/>
        <v>18.586974517336788</v>
      </c>
      <c r="AO6" s="36">
        <f t="shared" si="3"/>
        <v>18.577565270716047</v>
      </c>
      <c r="AP6" s="36">
        <f t="shared" si="3"/>
        <v>18.568392963342749</v>
      </c>
      <c r="AQ6" s="36">
        <f t="shared" si="3"/>
        <v>18.559446063356276</v>
      </c>
      <c r="AR6" s="36">
        <f t="shared" si="3"/>
        <v>18.55071385829816</v>
      </c>
      <c r="AS6" s="36">
        <f t="shared" si="3"/>
        <v>18.54218637938818</v>
      </c>
      <c r="AT6" s="36">
        <f t="shared" si="3"/>
        <v>18.533854334343193</v>
      </c>
      <c r="AU6" s="36">
        <f t="shared" si="3"/>
        <v>18.525709047608249</v>
      </c>
      <c r="AV6" s="36">
        <f t="shared" si="3"/>
        <v>18.517742407040306</v>
      </c>
      <c r="AW6" s="36">
        <f t="shared" si="3"/>
        <v>18.509946816226808</v>
      </c>
      <c r="AX6" s="36">
        <f t="shared" si="3"/>
        <v>18.502315151739563</v>
      </c>
      <c r="AY6" s="36">
        <f t="shared" si="3"/>
        <v>18.494840724723719</v>
      </c>
      <c r="AZ6" s="36">
        <f t="shared" si="3"/>
        <v>18.48751724630511</v>
      </c>
      <c r="BA6" s="37">
        <f t="shared" si="3"/>
        <v>18.480338796369434</v>
      </c>
      <c r="BB6" s="103"/>
    </row>
    <row r="7" spans="1:55" x14ac:dyDescent="0.3">
      <c r="A7" s="28" t="s">
        <v>91</v>
      </c>
      <c r="B7" s="36">
        <v>15</v>
      </c>
      <c r="C7" s="36">
        <f>$B7*(VALUE(RIGHT(C$2,2)))^(-0.01)</f>
        <v>14.896387431555537</v>
      </c>
      <c r="D7" s="36">
        <f t="shared" ref="D7:BA7" si="4">$B7*(VALUE(RIGHT(D$2,2)))^(-0.01)</f>
        <v>14.836110062582561</v>
      </c>
      <c r="E7" s="36">
        <f t="shared" si="4"/>
        <v>14.793490567400388</v>
      </c>
      <c r="F7" s="36">
        <f t="shared" si="4"/>
        <v>14.760516650451866</v>
      </c>
      <c r="G7" s="36">
        <f t="shared" si="4"/>
        <v>14.733629564628634</v>
      </c>
      <c r="H7" s="36">
        <f t="shared" si="4"/>
        <v>14.710935070843725</v>
      </c>
      <c r="I7" s="36">
        <f t="shared" si="4"/>
        <v>14.691304463803901</v>
      </c>
      <c r="J7" s="36">
        <f t="shared" si="4"/>
        <v>14.674010785937565</v>
      </c>
      <c r="K7" s="36">
        <f t="shared" si="4"/>
        <v>14.65855831433716</v>
      </c>
      <c r="L7" s="36">
        <f t="shared" si="4"/>
        <v>14.644593871875767</v>
      </c>
      <c r="M7" s="36">
        <f t="shared" si="4"/>
        <v>14.631856951181939</v>
      </c>
      <c r="N7" s="36">
        <f t="shared" si="4"/>
        <v>14.62014990263966</v>
      </c>
      <c r="O7" s="36">
        <f t="shared" si="4"/>
        <v>14.609319219716404</v>
      </c>
      <c r="P7" s="36">
        <f t="shared" si="4"/>
        <v>14.599243307112424</v>
      </c>
      <c r="Q7" s="36">
        <f t="shared" si="4"/>
        <v>14.589824211184283</v>
      </c>
      <c r="R7" s="36">
        <f t="shared" si="4"/>
        <v>14.580981866022549</v>
      </c>
      <c r="S7" s="36">
        <f t="shared" si="4"/>
        <v>14.572649989476721</v>
      </c>
      <c r="T7" s="36">
        <f t="shared" si="4"/>
        <v>14.564773092163602</v>
      </c>
      <c r="U7" s="36">
        <f t="shared" si="4"/>
        <v>14.557304255894399</v>
      </c>
      <c r="V7" s="36">
        <f t="shared" si="4"/>
        <v>14.550203455636218</v>
      </c>
      <c r="W7" s="36">
        <f t="shared" si="4"/>
        <v>14.543436272883024</v>
      </c>
      <c r="X7" s="36">
        <f t="shared" si="4"/>
        <v>14.536972895770315</v>
      </c>
      <c r="Y7" s="36">
        <f t="shared" si="4"/>
        <v>14.530787332527012</v>
      </c>
      <c r="Z7" s="36">
        <f t="shared" si="4"/>
        <v>14.524856785884447</v>
      </c>
      <c r="AA7" s="36">
        <f t="shared" si="4"/>
        <v>14.519161150475956</v>
      </c>
      <c r="AB7" s="36">
        <f t="shared" si="4"/>
        <v>14.513682605312891</v>
      </c>
      <c r="AC7" s="36">
        <f t="shared" si="4"/>
        <v>14.508405280544412</v>
      </c>
      <c r="AD7" s="36">
        <f t="shared" si="4"/>
        <v>14.503314982826463</v>
      </c>
      <c r="AE7" s="36">
        <f t="shared" si="4"/>
        <v>14.49839896735272</v>
      </c>
      <c r="AF7" s="36">
        <f t="shared" si="4"/>
        <v>14.493645747347953</v>
      </c>
      <c r="AG7" s="36">
        <f t="shared" si="4"/>
        <v>14.489044933872682</v>
      </c>
      <c r="AH7" s="36">
        <f t="shared" si="4"/>
        <v>14.484587100331396</v>
      </c>
      <c r="AI7" s="36">
        <f t="shared" si="4"/>
        <v>14.480263667250503</v>
      </c>
      <c r="AJ7" s="36">
        <f t="shared" si="4"/>
        <v>14.476066803793671</v>
      </c>
      <c r="AK7" s="36">
        <f t="shared" si="4"/>
        <v>14.471989343179928</v>
      </c>
      <c r="AL7" s="36">
        <f t="shared" si="4"/>
        <v>14.468024709714538</v>
      </c>
      <c r="AM7" s="36">
        <f t="shared" si="4"/>
        <v>14.464166855570946</v>
      </c>
      <c r="AN7" s="36">
        <f t="shared" si="4"/>
        <v>14.460410205801178</v>
      </c>
      <c r="AO7" s="36">
        <f t="shared" si="4"/>
        <v>14.456749610322353</v>
      </c>
      <c r="AP7" s="36">
        <f t="shared" si="4"/>
        <v>14.453180301843808</v>
      </c>
      <c r="AQ7" s="36">
        <f t="shared" si="4"/>
        <v>14.449697858874355</v>
      </c>
      <c r="AR7" s="36">
        <f t="shared" si="4"/>
        <v>14.446298173091067</v>
      </c>
      <c r="AS7" s="36">
        <f t="shared" si="4"/>
        <v>14.44297742046691</v>
      </c>
      <c r="AT7" s="36">
        <f t="shared" si="4"/>
        <v>14.439732035649447</v>
      </c>
      <c r="AU7" s="36">
        <f t="shared" si="4"/>
        <v>14.436558689161096</v>
      </c>
      <c r="AV7" s="36">
        <f t="shared" si="4"/>
        <v>14.43345426705622</v>
      </c>
      <c r="AW7" s="36">
        <f t="shared" si="4"/>
        <v>14.430415852724119</v>
      </c>
      <c r="AX7" s="36">
        <f t="shared" si="4"/>
        <v>14.427440710571991</v>
      </c>
      <c r="AY7" s="36">
        <f t="shared" si="4"/>
        <v>14.424526271359554</v>
      </c>
      <c r="AZ7" s="36">
        <f t="shared" si="4"/>
        <v>14.421670118988731</v>
      </c>
      <c r="BA7" s="37">
        <f t="shared" si="4"/>
        <v>14.418869978578631</v>
      </c>
      <c r="BB7" s="103"/>
    </row>
    <row r="8" spans="1:55" x14ac:dyDescent="0.3">
      <c r="A8" s="28" t="s">
        <v>92</v>
      </c>
      <c r="B8" s="36">
        <v>70</v>
      </c>
      <c r="C8" s="36">
        <f>$B8*(VALUE(RIGHT(C$2,2)))^(-0.17)</f>
        <v>62.218987681659911</v>
      </c>
      <c r="D8" s="36">
        <f t="shared" ref="D8:BA8" si="5">$B8*(VALUE(RIGHT(D$2,2)))^(-0.17)</f>
        <v>58.074760401588037</v>
      </c>
      <c r="E8" s="36">
        <f t="shared" si="5"/>
        <v>55.302891830436401</v>
      </c>
      <c r="F8" s="36">
        <f>$B8*(VALUE(RIGHT(F$2,2)))^(-0.17)</f>
        <v>53.244302147288323</v>
      </c>
      <c r="G8" s="36">
        <f t="shared" si="5"/>
        <v>51.619325743453665</v>
      </c>
      <c r="H8" s="36">
        <f t="shared" si="5"/>
        <v>50.284180100381775</v>
      </c>
      <c r="I8" s="36">
        <f t="shared" si="5"/>
        <v>49.155570650829901</v>
      </c>
      <c r="J8" s="36">
        <f t="shared" si="5"/>
        <v>48.1811113671694</v>
      </c>
      <c r="K8" s="36">
        <f t="shared" si="5"/>
        <v>47.325808277438725</v>
      </c>
      <c r="L8" s="36">
        <f t="shared" si="5"/>
        <v>46.565179727278036</v>
      </c>
      <c r="M8" s="36">
        <f t="shared" si="5"/>
        <v>45.881459893821912</v>
      </c>
      <c r="N8" s="36">
        <f t="shared" si="5"/>
        <v>45.261367373932238</v>
      </c>
      <c r="O8" s="36">
        <f t="shared" si="5"/>
        <v>44.69472546068603</v>
      </c>
      <c r="P8" s="36">
        <f t="shared" si="5"/>
        <v>44.173572713621844</v>
      </c>
      <c r="Q8" s="36">
        <f t="shared" si="5"/>
        <v>43.691569211556413</v>
      </c>
      <c r="R8" s="36">
        <f t="shared" si="5"/>
        <v>43.243588238182845</v>
      </c>
      <c r="S8" s="36">
        <f t="shared" si="5"/>
        <v>42.825428209179961</v>
      </c>
      <c r="T8" s="36">
        <f t="shared" si="5"/>
        <v>42.433604852194343</v>
      </c>
      <c r="U8" s="36">
        <f t="shared" si="5"/>
        <v>42.065198317693699</v>
      </c>
      <c r="V8" s="36">
        <f t="shared" si="5"/>
        <v>41.717738733142468</v>
      </c>
      <c r="W8" s="36">
        <f t="shared" si="5"/>
        <v>41.389119197797022</v>
      </c>
      <c r="X8" s="36">
        <f t="shared" si="5"/>
        <v>41.077528713082074</v>
      </c>
      <c r="Y8" s="36">
        <f t="shared" si="5"/>
        <v>40.781399827861129</v>
      </c>
      <c r="Z8" s="36">
        <f t="shared" si="5"/>
        <v>40.499367302167599</v>
      </c>
      <c r="AA8" s="36">
        <f t="shared" si="5"/>
        <v>40.230235129911051</v>
      </c>
      <c r="AB8" s="36">
        <f t="shared" si="5"/>
        <v>39.972949979008469</v>
      </c>
      <c r="AC8" s="36">
        <f t="shared" si="5"/>
        <v>39.726579612479945</v>
      </c>
      <c r="AD8" s="36">
        <f t="shared" si="5"/>
        <v>39.490295214644391</v>
      </c>
      <c r="AE8" s="36">
        <f t="shared" si="5"/>
        <v>39.263356807482083</v>
      </c>
      <c r="AF8" s="36">
        <f t="shared" si="5"/>
        <v>39.045101133406312</v>
      </c>
      <c r="AG8" s="36">
        <f t="shared" si="5"/>
        <v>38.834931522374568</v>
      </c>
      <c r="AH8" s="36">
        <f t="shared" si="5"/>
        <v>38.632309367407949</v>
      </c>
      <c r="AI8" s="36">
        <f t="shared" si="5"/>
        <v>38.436746912889589</v>
      </c>
      <c r="AJ8" s="36">
        <f t="shared" si="5"/>
        <v>38.247801121334149</v>
      </c>
      <c r="AK8" s="36">
        <f t="shared" si="5"/>
        <v>38.065068431553982</v>
      </c>
      <c r="AL8" s="36">
        <f t="shared" si="5"/>
        <v>37.888180257828722</v>
      </c>
      <c r="AM8" s="36">
        <f t="shared" si="5"/>
        <v>37.7167991083872</v>
      </c>
      <c r="AN8" s="36">
        <f t="shared" si="5"/>
        <v>37.550615224133836</v>
      </c>
      <c r="AO8" s="36">
        <f t="shared" si="5"/>
        <v>37.389343656502362</v>
      </c>
      <c r="AP8" s="36">
        <f t="shared" si="5"/>
        <v>37.232721717656197</v>
      </c>
      <c r="AQ8" s="36">
        <f t="shared" si="5"/>
        <v>37.08050674777283</v>
      </c>
      <c r="AR8" s="36">
        <f t="shared" si="5"/>
        <v>36.932474153457321</v>
      </c>
      <c r="AS8" s="36">
        <f t="shared" si="5"/>
        <v>36.788415678892669</v>
      </c>
      <c r="AT8" s="36">
        <f t="shared" si="5"/>
        <v>36.648137877510223</v>
      </c>
      <c r="AU8" s="36">
        <f t="shared" si="5"/>
        <v>36.511460757032651</v>
      </c>
      <c r="AV8" s="36">
        <f t="shared" si="5"/>
        <v>36.378216574921396</v>
      </c>
      <c r="AW8" s="36">
        <f t="shared" si="5"/>
        <v>36.248248764721993</v>
      </c>
      <c r="AX8" s="36">
        <f t="shared" si="5"/>
        <v>36.121410976680437</v>
      </c>
      <c r="AY8" s="36">
        <f t="shared" si="5"/>
        <v>35.997566218408373</v>
      </c>
      <c r="AZ8" s="36">
        <f t="shared" si="5"/>
        <v>35.876586083391416</v>
      </c>
      <c r="BA8" s="37">
        <f t="shared" si="5"/>
        <v>35.758350056831674</v>
      </c>
      <c r="BB8" s="103"/>
    </row>
    <row r="9" spans="1:55" x14ac:dyDescent="0.3">
      <c r="A9" s="28" t="s">
        <v>93</v>
      </c>
      <c r="B9" s="36">
        <v>100</v>
      </c>
      <c r="C9" s="36">
        <f>$B9*(VALUE(RIGHT(C$2,2)))^(-0.3)</f>
        <v>81.225239635623552</v>
      </c>
      <c r="D9" s="36">
        <f t="shared" ref="D9:BA9" si="6">$B9*(VALUE(RIGHT(D$2,2)))^(-0.3)</f>
        <v>71.922309332486449</v>
      </c>
      <c r="E9" s="36">
        <f t="shared" si="6"/>
        <v>65.975395538644719</v>
      </c>
      <c r="F9" s="36">
        <f t="shared" si="6"/>
        <v>61.703386272000962</v>
      </c>
      <c r="G9" s="36">
        <f t="shared" si="6"/>
        <v>58.419068106786554</v>
      </c>
      <c r="H9" s="36">
        <f t="shared" si="6"/>
        <v>55.778982530324605</v>
      </c>
      <c r="I9" s="36">
        <f t="shared" si="6"/>
        <v>53.588673126814655</v>
      </c>
      <c r="J9" s="36">
        <f t="shared" si="6"/>
        <v>51.728185797178661</v>
      </c>
      <c r="K9" s="36">
        <f t="shared" si="6"/>
        <v>50.118723362727224</v>
      </c>
      <c r="L9" s="36">
        <f t="shared" si="6"/>
        <v>48.70596972258285</v>
      </c>
      <c r="M9" s="36">
        <f t="shared" si="6"/>
        <v>47.451028062635508</v>
      </c>
      <c r="N9" s="36">
        <f t="shared" si="6"/>
        <v>46.325167075036717</v>
      </c>
      <c r="O9" s="36">
        <f t="shared" si="6"/>
        <v>45.30661222656876</v>
      </c>
      <c r="P9" s="36">
        <f t="shared" si="6"/>
        <v>44.378500343167502</v>
      </c>
      <c r="Q9" s="36">
        <f t="shared" si="6"/>
        <v>43.527528164806206</v>
      </c>
      <c r="R9" s="36">
        <f t="shared" si="6"/>
        <v>42.743031778825944</v>
      </c>
      <c r="S9" s="36">
        <f t="shared" si="6"/>
        <v>42.016342872918948</v>
      </c>
      <c r="T9" s="36">
        <f t="shared" si="6"/>
        <v>41.340328157583215</v>
      </c>
      <c r="U9" s="36">
        <f t="shared" si="6"/>
        <v>40.709053153690448</v>
      </c>
      <c r="V9" s="36">
        <f t="shared" si="6"/>
        <v>40.117532357973637</v>
      </c>
      <c r="W9" s="36">
        <f t="shared" si="6"/>
        <v>39.561540624022165</v>
      </c>
      <c r="X9" s="36">
        <f t="shared" si="6"/>
        <v>39.037468715365868</v>
      </c>
      <c r="Y9" s="36">
        <f t="shared" si="6"/>
        <v>38.542211253442673</v>
      </c>
      <c r="Z9" s="36">
        <f t="shared" si="6"/>
        <v>38.073078774317572</v>
      </c>
      <c r="AA9" s="36">
        <f t="shared" si="6"/>
        <v>37.627727968301556</v>
      </c>
      <c r="AB9" s="36">
        <f t="shared" si="6"/>
        <v>37.204105801130147</v>
      </c>
      <c r="AC9" s="36">
        <f t="shared" si="6"/>
        <v>36.800404351813192</v>
      </c>
      <c r="AD9" s="36">
        <f t="shared" si="6"/>
        <v>36.415024009228404</v>
      </c>
      <c r="AE9" s="36">
        <f t="shared" si="6"/>
        <v>36.046543250433828</v>
      </c>
      <c r="AF9" s="36">
        <f t="shared" si="6"/>
        <v>35.693693647162874</v>
      </c>
      <c r="AG9" s="36">
        <f t="shared" si="6"/>
        <v>35.355339059327378</v>
      </c>
      <c r="AH9" s="36">
        <f t="shared" si="6"/>
        <v>35.03045820726323</v>
      </c>
      <c r="AI9" s="36">
        <f t="shared" si="6"/>
        <v>34.718129989882108</v>
      </c>
      <c r="AJ9" s="36">
        <f t="shared" si="6"/>
        <v>34.417521049278136</v>
      </c>
      <c r="AK9" s="36">
        <f t="shared" si="6"/>
        <v>34.127875184653661</v>
      </c>
      <c r="AL9" s="36">
        <f t="shared" si="6"/>
        <v>33.848504297562549</v>
      </c>
      <c r="AM9" s="36">
        <f t="shared" si="6"/>
        <v>33.578780612150126</v>
      </c>
      <c r="AN9" s="36">
        <f t="shared" si="6"/>
        <v>33.318129962499064</v>
      </c>
      <c r="AO9" s="36">
        <f t="shared" si="6"/>
        <v>33.066025977478432</v>
      </c>
      <c r="AP9" s="36">
        <f t="shared" si="6"/>
        <v>32.821985023960352</v>
      </c>
      <c r="AQ9" s="36">
        <f t="shared" si="6"/>
        <v>32.585561793662905</v>
      </c>
      <c r="AR9" s="36">
        <f t="shared" si="6"/>
        <v>32.356345438522354</v>
      </c>
      <c r="AS9" s="36">
        <f t="shared" si="6"/>
        <v>32.133956175406574</v>
      </c>
      <c r="AT9" s="36">
        <f t="shared" si="6"/>
        <v>31.918042293931485</v>
      </c>
      <c r="AU9" s="36">
        <f t="shared" si="6"/>
        <v>31.708277511737503</v>
      </c>
      <c r="AV9" s="36">
        <f t="shared" si="6"/>
        <v>31.504358630292138</v>
      </c>
      <c r="AW9" s="36">
        <f t="shared" si="6"/>
        <v>31.306003451477071</v>
      </c>
      <c r="AX9" s="36">
        <f t="shared" si="6"/>
        <v>31.112948921182571</v>
      </c>
      <c r="AY9" s="36">
        <f t="shared" si="6"/>
        <v>30.924949471099172</v>
      </c>
      <c r="AZ9" s="36">
        <f t="shared" si="6"/>
        <v>30.741775534050181</v>
      </c>
      <c r="BA9" s="37">
        <f t="shared" si="6"/>
        <v>30.563212211693479</v>
      </c>
      <c r="BB9" s="103"/>
    </row>
    <row r="10" spans="1:55" x14ac:dyDescent="0.3">
      <c r="A10" s="28" t="s">
        <v>94</v>
      </c>
      <c r="B10" s="36">
        <v>40</v>
      </c>
      <c r="C10" s="36">
        <f>$B10*(VALUE(RIGHT(C$2,2)))^(-0.09)</f>
        <v>37.580909968560476</v>
      </c>
      <c r="D10" s="36">
        <f t="shared" ref="D10:BA10" si="7">$B10*(VALUE(RIGHT(D$2,2)))^(-0.09)</f>
        <v>36.234233477429477</v>
      </c>
      <c r="E10" s="36">
        <f t="shared" si="7"/>
        <v>35.308119851626202</v>
      </c>
      <c r="F10" s="36">
        <f t="shared" si="7"/>
        <v>34.606102591729645</v>
      </c>
      <c r="G10" s="36">
        <f t="shared" si="7"/>
        <v>34.042886652376922</v>
      </c>
      <c r="H10" s="36">
        <f t="shared" si="7"/>
        <v>33.573851697212298</v>
      </c>
      <c r="I10" s="36">
        <f t="shared" si="7"/>
        <v>33.17278183257767</v>
      </c>
      <c r="J10" s="36">
        <f t="shared" si="7"/>
        <v>32.822991892421769</v>
      </c>
      <c r="K10" s="36">
        <f t="shared" si="7"/>
        <v>32.513220646563965</v>
      </c>
      <c r="L10" s="36">
        <f t="shared" si="7"/>
        <v>32.235517724029386</v>
      </c>
      <c r="M10" s="36">
        <f t="shared" si="7"/>
        <v>31.984066458822156</v>
      </c>
      <c r="N10" s="36">
        <f t="shared" si="7"/>
        <v>31.754486166577543</v>
      </c>
      <c r="O10" s="36">
        <f t="shared" si="7"/>
        <v>31.543397448268415</v>
      </c>
      <c r="P10" s="36">
        <f t="shared" si="7"/>
        <v>31.348140026315225</v>
      </c>
      <c r="Q10" s="36">
        <f t="shared" si="7"/>
        <v>31.166583186419992</v>
      </c>
      <c r="R10" s="36">
        <f t="shared" si="7"/>
        <v>30.996994654264146</v>
      </c>
      <c r="S10" s="36">
        <f t="shared" si="7"/>
        <v>30.837947580197319</v>
      </c>
      <c r="T10" s="36">
        <f t="shared" si="7"/>
        <v>30.688253093815632</v>
      </c>
      <c r="U10" s="36">
        <f t="shared" si="7"/>
        <v>30.546910447661549</v>
      </c>
      <c r="V10" s="36">
        <f t="shared" si="7"/>
        <v>30.413069528334557</v>
      </c>
      <c r="W10" s="36">
        <f t="shared" si="7"/>
        <v>30.286002234417097</v>
      </c>
      <c r="X10" s="36">
        <f t="shared" si="7"/>
        <v>30.165080323094525</v>
      </c>
      <c r="Y10" s="36">
        <f t="shared" si="7"/>
        <v>30.04975805043625</v>
      </c>
      <c r="Z10" s="36">
        <f t="shared" si="7"/>
        <v>29.939558414732925</v>
      </c>
      <c r="AA10" s="36">
        <f t="shared" si="7"/>
        <v>29.834062143101242</v>
      </c>
      <c r="AB10" s="36">
        <f t="shared" si="7"/>
        <v>29.732898791444629</v>
      </c>
      <c r="AC10" s="36">
        <f t="shared" si="7"/>
        <v>29.635739490147387</v>
      </c>
      <c r="AD10" s="36">
        <f t="shared" si="7"/>
        <v>29.542290984128527</v>
      </c>
      <c r="AE10" s="36">
        <f t="shared" si="7"/>
        <v>29.452290700269486</v>
      </c>
      <c r="AF10" s="36">
        <f t="shared" si="7"/>
        <v>29.365502637248223</v>
      </c>
      <c r="AG10" s="36">
        <f t="shared" si="7"/>
        <v>29.281713918912509</v>
      </c>
      <c r="AH10" s="36">
        <f t="shared" si="7"/>
        <v>29.200731886957421</v>
      </c>
      <c r="AI10" s="36">
        <f t="shared" si="7"/>
        <v>29.122381634946276</v>
      </c>
      <c r="AJ10" s="36">
        <f t="shared" si="7"/>
        <v>29.046503905831127</v>
      </c>
      <c r="AK10" s="36">
        <f t="shared" si="7"/>
        <v>28.97295329066457</v>
      </c>
      <c r="AL10" s="36">
        <f t="shared" si="7"/>
        <v>28.901596678289081</v>
      </c>
      <c r="AM10" s="36">
        <f t="shared" si="7"/>
        <v>28.832311915277064</v>
      </c>
      <c r="AN10" s="36">
        <f t="shared" si="7"/>
        <v>28.764986642889383</v>
      </c>
      <c r="AO10" s="36">
        <f t="shared" si="7"/>
        <v>28.699517283781198</v>
      </c>
      <c r="AP10" s="36">
        <f t="shared" si="7"/>
        <v>28.635808155954425</v>
      </c>
      <c r="AQ10" s="36">
        <f t="shared" si="7"/>
        <v>28.573770695297775</v>
      </c>
      <c r="AR10" s="36">
        <f t="shared" si="7"/>
        <v>28.513322771165829</v>
      </c>
      <c r="AS10" s="36">
        <f t="shared" si="7"/>
        <v>28.454388081981254</v>
      </c>
      <c r="AT10" s="36">
        <f t="shared" si="7"/>
        <v>28.39689561991645</v>
      </c>
      <c r="AU10" s="36">
        <f t="shared" si="7"/>
        <v>28.340779195415262</v>
      </c>
      <c r="AV10" s="36">
        <f t="shared" si="7"/>
        <v>28.285977013723034</v>
      </c>
      <c r="AW10" s="36">
        <f t="shared" si="7"/>
        <v>28.232431296761749</v>
      </c>
      <c r="AX10" s="36">
        <f t="shared" si="7"/>
        <v>28.180087944660134</v>
      </c>
      <c r="AY10" s="36">
        <f t="shared" si="7"/>
        <v>28.128896232063376</v>
      </c>
      <c r="AZ10" s="36">
        <f t="shared" si="7"/>
        <v>28.078808535031008</v>
      </c>
      <c r="BA10" s="37">
        <f t="shared" si="7"/>
        <v>28.02978008490815</v>
      </c>
      <c r="BB10" s="103"/>
    </row>
    <row r="11" spans="1:55" x14ac:dyDescent="0.3">
      <c r="A11" s="28" t="s">
        <v>95</v>
      </c>
      <c r="B11" s="36">
        <v>50</v>
      </c>
      <c r="C11" s="36">
        <f>$B11*(VALUE(RIGHT(C$2,2)))^(-0.21)</f>
        <v>43.226861565393257</v>
      </c>
      <c r="D11" s="36">
        <f t="shared" ref="D11:BA11" si="8">$B11*(VALUE(RIGHT(D$2,2)))^(-0.21)</f>
        <v>39.698540540280661</v>
      </c>
      <c r="E11" s="36">
        <f t="shared" si="8"/>
        <v>37.371231215873465</v>
      </c>
      <c r="F11" s="36">
        <f t="shared" si="8"/>
        <v>35.660407645411759</v>
      </c>
      <c r="G11" s="36">
        <f t="shared" si="8"/>
        <v>34.320866325657292</v>
      </c>
      <c r="H11" s="36">
        <f t="shared" si="8"/>
        <v>33.227633834431956</v>
      </c>
      <c r="I11" s="36">
        <f t="shared" si="8"/>
        <v>32.308820765937305</v>
      </c>
      <c r="J11" s="36">
        <f t="shared" si="8"/>
        <v>31.519482420566142</v>
      </c>
      <c r="K11" s="36">
        <f t="shared" si="8"/>
        <v>30.829750093074111</v>
      </c>
      <c r="L11" s="36">
        <f t="shared" si="8"/>
        <v>30.218822690895301</v>
      </c>
      <c r="M11" s="36">
        <f t="shared" si="8"/>
        <v>29.671666749271097</v>
      </c>
      <c r="N11" s="36">
        <f t="shared" si="8"/>
        <v>29.177084983850378</v>
      </c>
      <c r="O11" s="36">
        <f t="shared" si="8"/>
        <v>28.726526558131347</v>
      </c>
      <c r="P11" s="36">
        <f t="shared" si="8"/>
        <v>28.313322771886263</v>
      </c>
      <c r="Q11" s="36">
        <f t="shared" si="8"/>
        <v>27.932178451805502</v>
      </c>
      <c r="R11" s="36">
        <f t="shared" si="8"/>
        <v>27.578823208879022</v>
      </c>
      <c r="S11" s="36">
        <f t="shared" si="8"/>
        <v>27.249766064133183</v>
      </c>
      <c r="T11" s="36">
        <f t="shared" si="8"/>
        <v>26.9421188825598</v>
      </c>
      <c r="U11" s="36">
        <f t="shared" si="8"/>
        <v>26.653466787379692</v>
      </c>
      <c r="V11" s="36">
        <f t="shared" si="8"/>
        <v>26.381771376675967</v>
      </c>
      <c r="W11" s="36">
        <f t="shared" si="8"/>
        <v>26.125297302569923</v>
      </c>
      <c r="X11" s="36">
        <f t="shared" si="8"/>
        <v>25.882555787844929</v>
      </c>
      <c r="Y11" s="36">
        <f t="shared" si="8"/>
        <v>25.652260619704474</v>
      </c>
      <c r="Z11" s="36">
        <f t="shared" si="8"/>
        <v>25.433293468738828</v>
      </c>
      <c r="AA11" s="36">
        <f t="shared" si="8"/>
        <v>25.224676269572292</v>
      </c>
      <c r="AB11" s="36">
        <f t="shared" si="8"/>
        <v>25.025549013630176</v>
      </c>
      <c r="AC11" s="36">
        <f t="shared" si="8"/>
        <v>24.835151735658727</v>
      </c>
      <c r="AD11" s="36">
        <f t="shared" si="8"/>
        <v>24.652809782959771</v>
      </c>
      <c r="AE11" s="36">
        <f t="shared" si="8"/>
        <v>24.477921678332478</v>
      </c>
      <c r="AF11" s="36">
        <f t="shared" si="8"/>
        <v>24.309949050140045</v>
      </c>
      <c r="AG11" s="36">
        <f t="shared" si="8"/>
        <v>24.148408223121137</v>
      </c>
      <c r="AH11" s="36">
        <f t="shared" si="8"/>
        <v>23.992863153481206</v>
      </c>
      <c r="AI11" s="36">
        <f t="shared" si="8"/>
        <v>23.842919459733363</v>
      </c>
      <c r="AJ11" s="36">
        <f t="shared" si="8"/>
        <v>23.69821935256639</v>
      </c>
      <c r="AK11" s="36">
        <f t="shared" si="8"/>
        <v>23.55843730687273</v>
      </c>
      <c r="AL11" s="36">
        <f t="shared" si="8"/>
        <v>23.423276349980753</v>
      </c>
      <c r="AM11" s="36">
        <f t="shared" si="8"/>
        <v>23.292464864295606</v>
      </c>
      <c r="AN11" s="36">
        <f t="shared" si="8"/>
        <v>23.165753821571975</v>
      </c>
      <c r="AO11" s="36">
        <f t="shared" si="8"/>
        <v>23.042914381117377</v>
      </c>
      <c r="AP11" s="36">
        <f t="shared" si="8"/>
        <v>22.923735796250238</v>
      </c>
      <c r="AQ11" s="36">
        <f t="shared" si="8"/>
        <v>22.808023582988525</v>
      </c>
      <c r="AR11" s="36">
        <f t="shared" si="8"/>
        <v>22.695597912736286</v>
      </c>
      <c r="AS11" s="36">
        <f t="shared" si="8"/>
        <v>22.58629219705864</v>
      </c>
      <c r="AT11" s="36">
        <f t="shared" si="8"/>
        <v>22.479951837795571</v>
      </c>
      <c r="AU11" s="36">
        <f t="shared" si="8"/>
        <v>22.376433119994818</v>
      </c>
      <c r="AV11" s="36">
        <f t="shared" si="8"/>
        <v>22.275602228629186</v>
      </c>
      <c r="AW11" s="36">
        <f t="shared" si="8"/>
        <v>22.177334372947094</v>
      </c>
      <c r="AX11" s="36">
        <f t="shared" si="8"/>
        <v>22.08151300470174</v>
      </c>
      <c r="AY11" s="36">
        <f t="shared" si="8"/>
        <v>21.988029118503878</v>
      </c>
      <c r="AZ11" s="36">
        <f t="shared" si="8"/>
        <v>21.896780624218341</v>
      </c>
      <c r="BA11" s="37">
        <f t="shared" si="8"/>
        <v>21.807671782733244</v>
      </c>
      <c r="BB11" s="103"/>
    </row>
    <row r="12" spans="1:55" x14ac:dyDescent="0.3">
      <c r="A12" s="28" t="s">
        <v>96</v>
      </c>
      <c r="B12" s="36">
        <v>60</v>
      </c>
      <c r="C12" s="36">
        <f>$B12*(VALUE(RIGHT(C$2,2)))^(-0.2)</f>
        <v>52.233033797767447</v>
      </c>
      <c r="D12" s="36">
        <f t="shared" ref="D12:BA12" si="9">$B12*(VALUE(RIGHT(D$2,2)))^(-0.2)</f>
        <v>48.164493705613836</v>
      </c>
      <c r="E12" s="36">
        <f t="shared" si="9"/>
        <v>45.471496995311945</v>
      </c>
      <c r="F12" s="36">
        <f t="shared" si="9"/>
        <v>43.486779820661731</v>
      </c>
      <c r="G12" s="36">
        <f t="shared" si="9"/>
        <v>41.929627126294754</v>
      </c>
      <c r="H12" s="36">
        <f t="shared" si="9"/>
        <v>40.656654804028861</v>
      </c>
      <c r="I12" s="36">
        <f t="shared" si="9"/>
        <v>39.585237323186831</v>
      </c>
      <c r="J12" s="36">
        <f t="shared" si="9"/>
        <v>38.663640898635251</v>
      </c>
      <c r="K12" s="36">
        <f t="shared" si="9"/>
        <v>37.857440668811591</v>
      </c>
      <c r="L12" s="36">
        <f t="shared" si="9"/>
        <v>37.142635241030732</v>
      </c>
      <c r="M12" s="36">
        <f t="shared" si="9"/>
        <v>36.501860513592348</v>
      </c>
      <c r="N12" s="36">
        <f t="shared" si="9"/>
        <v>35.92217133248986</v>
      </c>
      <c r="O12" s="36">
        <f t="shared" si="9"/>
        <v>35.393673741383395</v>
      </c>
      <c r="P12" s="36">
        <f t="shared" si="9"/>
        <v>34.908645549161278</v>
      </c>
      <c r="Q12" s="36">
        <f t="shared" si="9"/>
        <v>34.460950649911055</v>
      </c>
      <c r="R12" s="36">
        <f t="shared" si="9"/>
        <v>34.045637140294801</v>
      </c>
      <c r="S12" s="36">
        <f t="shared" si="9"/>
        <v>33.658654363385985</v>
      </c>
      <c r="T12" s="36">
        <f t="shared" si="9"/>
        <v>33.296649169701254</v>
      </c>
      <c r="U12" s="36">
        <f t="shared" si="9"/>
        <v>32.956816299183537</v>
      </c>
      <c r="V12" s="36">
        <f t="shared" si="9"/>
        <v>32.636786573332714</v>
      </c>
      <c r="W12" s="36">
        <f t="shared" si="9"/>
        <v>32.334542031381773</v>
      </c>
      <c r="X12" s="36">
        <f t="shared" si="9"/>
        <v>32.048350610653138</v>
      </c>
      <c r="Y12" s="36">
        <f t="shared" si="9"/>
        <v>31.776715231464365</v>
      </c>
      <c r="Z12" s="36">
        <f t="shared" si="9"/>
        <v>31.518333652845204</v>
      </c>
      <c r="AA12" s="36">
        <f t="shared" si="9"/>
        <v>31.272066488318938</v>
      </c>
      <c r="AB12" s="36">
        <f t="shared" si="9"/>
        <v>31.036911478307196</v>
      </c>
      <c r="AC12" s="36">
        <f t="shared" si="9"/>
        <v>30.811982612680545</v>
      </c>
      <c r="AD12" s="36">
        <f t="shared" si="9"/>
        <v>30.596493051328334</v>
      </c>
      <c r="AE12" s="36">
        <f t="shared" si="9"/>
        <v>30.389741046727092</v>
      </c>
      <c r="AF12" s="36">
        <f t="shared" si="9"/>
        <v>30.191098259910834</v>
      </c>
      <c r="AG12" s="36">
        <f t="shared" si="9"/>
        <v>30</v>
      </c>
      <c r="AH12" s="36">
        <f t="shared" si="9"/>
        <v>29.815937021275595</v>
      </c>
      <c r="AI12" s="36">
        <f t="shared" si="9"/>
        <v>29.638448590259085</v>
      </c>
      <c r="AJ12" s="36">
        <f t="shared" si="9"/>
        <v>29.467116595124196</v>
      </c>
      <c r="AK12" s="36">
        <f t="shared" si="9"/>
        <v>29.301560515835217</v>
      </c>
      <c r="AL12" s="36">
        <f t="shared" si="9"/>
        <v>29.141433109148473</v>
      </c>
      <c r="AM12" s="36">
        <f t="shared" si="9"/>
        <v>28.986416690556855</v>
      </c>
      <c r="AN12" s="36">
        <f t="shared" si="9"/>
        <v>28.836219917261499</v>
      </c>
      <c r="AO12" s="36">
        <f t="shared" si="9"/>
        <v>28.690574993701109</v>
      </c>
      <c r="AP12" s="36">
        <f t="shared" si="9"/>
        <v>28.549235235089736</v>
      </c>
      <c r="AQ12" s="36">
        <f t="shared" si="9"/>
        <v>28.411972935590168</v>
      </c>
      <c r="AR12" s="36">
        <f t="shared" si="9"/>
        <v>28.278577496773494</v>
      </c>
      <c r="AS12" s="36">
        <f t="shared" si="9"/>
        <v>28.148853779341611</v>
      </c>
      <c r="AT12" s="36">
        <f t="shared" si="9"/>
        <v>28.022620647068052</v>
      </c>
      <c r="AU12" s="36">
        <f t="shared" si="9"/>
        <v>27.899709676815768</v>
      </c>
      <c r="AV12" s="36">
        <f t="shared" si="9"/>
        <v>27.779964012530407</v>
      </c>
      <c r="AW12" s="36">
        <f t="shared" si="9"/>
        <v>27.663237344451829</v>
      </c>
      <c r="AX12" s="36">
        <f t="shared" si="9"/>
        <v>27.549392997566045</v>
      </c>
      <c r="AY12" s="36">
        <f t="shared" si="9"/>
        <v>27.438303115639581</v>
      </c>
      <c r="AZ12" s="36">
        <f t="shared" si="9"/>
        <v>27.329847929122366</v>
      </c>
      <c r="BA12" s="37">
        <f t="shared" si="9"/>
        <v>27.223915096839892</v>
      </c>
      <c r="BB12" s="103"/>
    </row>
    <row r="13" spans="1:55" x14ac:dyDescent="0.3">
      <c r="A13" s="28" t="s">
        <v>97</v>
      </c>
      <c r="B13" s="36">
        <v>17.5</v>
      </c>
      <c r="C13" s="36">
        <f>$B13*(VALUE(RIGHT(C$2,2)))^(-0.04)</f>
        <v>17.021461579714998</v>
      </c>
      <c r="D13" s="36">
        <f t="shared" ref="D13:BA13" si="10">$B13*(VALUE(RIGHT(D$2,2)))^(-0.04)</f>
        <v>16.747623864674271</v>
      </c>
      <c r="E13" s="36">
        <f t="shared" si="10"/>
        <v>16.556008817697929</v>
      </c>
      <c r="F13" s="36">
        <f t="shared" si="10"/>
        <v>16.408891695035273</v>
      </c>
      <c r="G13" s="36">
        <f t="shared" si="10"/>
        <v>16.289659209375493</v>
      </c>
      <c r="H13" s="36">
        <f t="shared" si="10"/>
        <v>16.189525757772117</v>
      </c>
      <c r="I13" s="36">
        <f t="shared" si="10"/>
        <v>16.103283885935316</v>
      </c>
      <c r="J13" s="36">
        <f t="shared" si="10"/>
        <v>16.027594577863269</v>
      </c>
      <c r="K13" s="36">
        <f t="shared" si="10"/>
        <v>15.96018968872842</v>
      </c>
      <c r="L13" s="36">
        <f t="shared" si="10"/>
        <v>15.899458785793732</v>
      </c>
      <c r="M13" s="36">
        <f t="shared" si="10"/>
        <v>15.844217621659173</v>
      </c>
      <c r="N13" s="36">
        <f t="shared" si="10"/>
        <v>15.793570180914095</v>
      </c>
      <c r="O13" s="36">
        <f t="shared" si="10"/>
        <v>15.74682232455568</v>
      </c>
      <c r="P13" s="36">
        <f t="shared" si="10"/>
        <v>15.703425493978752</v>
      </c>
      <c r="Q13" s="36">
        <f t="shared" si="10"/>
        <v>15.662938741239516</v>
      </c>
      <c r="R13" s="36">
        <f t="shared" si="10"/>
        <v>15.625002367886971</v>
      </c>
      <c r="S13" s="36">
        <f t="shared" si="10"/>
        <v>15.589319161277031</v>
      </c>
      <c r="T13" s="36">
        <f t="shared" si="10"/>
        <v>15.555640745629006</v>
      </c>
      <c r="U13" s="36">
        <f t="shared" si="10"/>
        <v>15.523757462380246</v>
      </c>
      <c r="V13" s="36">
        <f t="shared" si="10"/>
        <v>15.493490739349891</v>
      </c>
      <c r="W13" s="36">
        <f t="shared" si="10"/>
        <v>15.464687249180002</v>
      </c>
      <c r="X13" s="36">
        <f t="shared" si="10"/>
        <v>15.437214376536968</v>
      </c>
      <c r="Y13" s="36">
        <f t="shared" si="10"/>
        <v>15.410956657583709</v>
      </c>
      <c r="Z13" s="36">
        <f t="shared" si="10"/>
        <v>15.385812951965573</v>
      </c>
      <c r="AA13" s="36">
        <f t="shared" si="10"/>
        <v>15.361694173769241</v>
      </c>
      <c r="AB13" s="36">
        <f t="shared" si="10"/>
        <v>15.338521454031248</v>
      </c>
      <c r="AC13" s="36">
        <f t="shared" si="10"/>
        <v>15.316224640001307</v>
      </c>
      <c r="AD13" s="36">
        <f t="shared" si="10"/>
        <v>15.294741059786563</v>
      </c>
      <c r="AE13" s="36">
        <f t="shared" si="10"/>
        <v>15.274014498038646</v>
      </c>
      <c r="AF13" s="36">
        <f t="shared" si="10"/>
        <v>15.253994340889319</v>
      </c>
      <c r="AG13" s="36">
        <f t="shared" si="10"/>
        <v>15.234634857682172</v>
      </c>
      <c r="AH13" s="36">
        <f t="shared" si="10"/>
        <v>15.215894594077952</v>
      </c>
      <c r="AI13" s="36">
        <f t="shared" si="10"/>
        <v>15.197735856453937</v>
      </c>
      <c r="AJ13" s="36">
        <f t="shared" si="10"/>
        <v>15.180124271615229</v>
      </c>
      <c r="AK13" s="36">
        <f t="shared" si="10"/>
        <v>15.163028409005246</v>
      </c>
      <c r="AL13" s="36">
        <f t="shared" si="10"/>
        <v>15.146419455074023</v>
      </c>
      <c r="AM13" s="36">
        <f t="shared" si="10"/>
        <v>15.130270931404185</v>
      </c>
      <c r="AN13" s="36">
        <f t="shared" si="10"/>
        <v>15.114558449730565</v>
      </c>
      <c r="AO13" s="36">
        <f t="shared" si="10"/>
        <v>15.099259498212531</v>
      </c>
      <c r="AP13" s="36">
        <f t="shared" si="10"/>
        <v>15.084353254298849</v>
      </c>
      <c r="AQ13" s="36">
        <f t="shared" si="10"/>
        <v>15.069820420315102</v>
      </c>
      <c r="AR13" s="36">
        <f t="shared" si="10"/>
        <v>15.055643078544923</v>
      </c>
      <c r="AS13" s="36">
        <f t="shared" si="10"/>
        <v>15.041804563098617</v>
      </c>
      <c r="AT13" s="36">
        <f t="shared" si="10"/>
        <v>15.028289346291025</v>
      </c>
      <c r="AU13" s="36">
        <f t="shared" si="10"/>
        <v>15.015082937602742</v>
      </c>
      <c r="AV13" s="36">
        <f t="shared" si="10"/>
        <v>15.002171793590581</v>
      </c>
      <c r="AW13" s="36">
        <f t="shared" si="10"/>
        <v>14.989543237355093</v>
      </c>
      <c r="AX13" s="36">
        <f t="shared" si="10"/>
        <v>14.977185386375245</v>
      </c>
      <c r="AY13" s="36">
        <f t="shared" si="10"/>
        <v>14.965087087689335</v>
      </c>
      <c r="AZ13" s="36">
        <f t="shared" si="10"/>
        <v>14.95323785954376</v>
      </c>
      <c r="BA13" s="37">
        <f t="shared" si="10"/>
        <v>14.941627838751133</v>
      </c>
      <c r="BB13" s="103"/>
    </row>
    <row r="14" spans="1:55" x14ac:dyDescent="0.3">
      <c r="A14" s="28" t="s">
        <v>98</v>
      </c>
      <c r="B14" s="36">
        <v>22</v>
      </c>
      <c r="C14" s="36">
        <f>$B14*(VALUE(RIGHT(C$2,2)))^(-0.08)</f>
        <v>20.81326822796311</v>
      </c>
      <c r="D14" s="36">
        <f t="shared" ref="D14:BA14" si="11">$B14*(VALUE(RIGHT(D$2,2)))^(-0.08)</f>
        <v>20.148976040742394</v>
      </c>
      <c r="E14" s="36">
        <f t="shared" si="11"/>
        <v>19.690551560415393</v>
      </c>
      <c r="F14" s="36">
        <f t="shared" si="11"/>
        <v>19.342164853899575</v>
      </c>
      <c r="G14" s="36">
        <f t="shared" si="11"/>
        <v>19.062092857035168</v>
      </c>
      <c r="H14" s="36">
        <f t="shared" si="11"/>
        <v>18.828461628586023</v>
      </c>
      <c r="I14" s="36">
        <f t="shared" si="11"/>
        <v>18.6283968719756</v>
      </c>
      <c r="J14" s="36">
        <f t="shared" si="11"/>
        <v>18.453692522291412</v>
      </c>
      <c r="K14" s="36">
        <f t="shared" si="11"/>
        <v>18.298802964258762</v>
      </c>
      <c r="L14" s="36">
        <f t="shared" si="11"/>
        <v>18.159808564850209</v>
      </c>
      <c r="M14" s="36">
        <f t="shared" si="11"/>
        <v>18.033838709991478</v>
      </c>
      <c r="N14" s="36">
        <f t="shared" si="11"/>
        <v>17.918729467128479</v>
      </c>
      <c r="O14" s="36">
        <f t="shared" si="11"/>
        <v>17.812810099803276</v>
      </c>
      <c r="P14" s="36">
        <f t="shared" si="11"/>
        <v>17.714764373514189</v>
      </c>
      <c r="Q14" s="36">
        <f t="shared" si="11"/>
        <v>17.623537306971688</v>
      </c>
      <c r="R14" s="36">
        <f t="shared" si="11"/>
        <v>17.538270621787476</v>
      </c>
      <c r="S14" s="36">
        <f t="shared" si="11"/>
        <v>17.458256921036739</v>
      </c>
      <c r="T14" s="36">
        <f t="shared" si="11"/>
        <v>17.382906442957108</v>
      </c>
      <c r="U14" s="36">
        <f t="shared" si="11"/>
        <v>17.311722470262005</v>
      </c>
      <c r="V14" s="36">
        <f t="shared" si="11"/>
        <v>17.244282829018967</v>
      </c>
      <c r="W14" s="36">
        <f t="shared" si="11"/>
        <v>17.180225755849509</v>
      </c>
      <c r="X14" s="36">
        <f t="shared" si="11"/>
        <v>17.119238953657181</v>
      </c>
      <c r="Y14" s="36">
        <f t="shared" si="11"/>
        <v>17.061051011403496</v>
      </c>
      <c r="Z14" s="36">
        <f t="shared" si="11"/>
        <v>17.005424601610361</v>
      </c>
      <c r="AA14" s="36">
        <f t="shared" si="11"/>
        <v>16.952151031984158</v>
      </c>
      <c r="AB14" s="36">
        <f t="shared" si="11"/>
        <v>16.901045840676215</v>
      </c>
      <c r="AC14" s="36">
        <f t="shared" si="11"/>
        <v>16.851945204589811</v>
      </c>
      <c r="AD14" s="36">
        <f t="shared" si="11"/>
        <v>16.80470298739678</v>
      </c>
      <c r="AE14" s="36">
        <f t="shared" si="11"/>
        <v>16.759188295505258</v>
      </c>
      <c r="AF14" s="36">
        <f t="shared" si="11"/>
        <v>16.715283440788362</v>
      </c>
      <c r="AG14" s="36">
        <f t="shared" si="11"/>
        <v>16.672882231614381</v>
      </c>
      <c r="AH14" s="36">
        <f t="shared" si="11"/>
        <v>16.631888530801611</v>
      </c>
      <c r="AI14" s="36">
        <f t="shared" si="11"/>
        <v>16.592215032084916</v>
      </c>
      <c r="AJ14" s="36">
        <f t="shared" si="11"/>
        <v>16.553782216610607</v>
      </c>
      <c r="AK14" s="36">
        <f t="shared" si="11"/>
        <v>16.516517458646867</v>
      </c>
      <c r="AL14" s="36">
        <f t="shared" si="11"/>
        <v>16.480354255670157</v>
      </c>
      <c r="AM14" s="36">
        <f t="shared" si="11"/>
        <v>16.445231562675197</v>
      </c>
      <c r="AN14" s="36">
        <f t="shared" si="11"/>
        <v>16.411093214259836</v>
      </c>
      <c r="AO14" s="36">
        <f t="shared" si="11"/>
        <v>16.377887420982692</v>
      </c>
      <c r="AP14" s="36">
        <f t="shared" si="11"/>
        <v>16.345566328850538</v>
      </c>
      <c r="AQ14" s="36">
        <f t="shared" si="11"/>
        <v>16.314085632692287</v>
      </c>
      <c r="AR14" s="36">
        <f t="shared" si="11"/>
        <v>16.283404235715356</v>
      </c>
      <c r="AS14" s="36">
        <f t="shared" si="11"/>
        <v>16.253483948793459</v>
      </c>
      <c r="AT14" s="36">
        <f t="shared" si="11"/>
        <v>16.224289224060655</v>
      </c>
      <c r="AU14" s="36">
        <f t="shared" si="11"/>
        <v>16.195786918230066</v>
      </c>
      <c r="AV14" s="36">
        <f t="shared" si="11"/>
        <v>16.167946081753158</v>
      </c>
      <c r="AW14" s="36">
        <f t="shared" si="11"/>
        <v>16.140737770513738</v>
      </c>
      <c r="AX14" s="36">
        <f t="shared" si="11"/>
        <v>16.114134877233464</v>
      </c>
      <c r="AY14" s="36">
        <f t="shared" si="11"/>
        <v>16.088111980169057</v>
      </c>
      <c r="AZ14" s="36">
        <f t="shared" si="11"/>
        <v>16.062645207020548</v>
      </c>
      <c r="BA14" s="37">
        <f t="shared" si="11"/>
        <v>16.037712112255814</v>
      </c>
      <c r="BB14" s="103"/>
    </row>
    <row r="15" spans="1:55" x14ac:dyDescent="0.3">
      <c r="A15" s="28" t="s">
        <v>99</v>
      </c>
      <c r="B15" s="36">
        <v>16</v>
      </c>
      <c r="C15" s="36">
        <f>$B15*(VALUE(RIGHT(C$2,2)))^(-0.03)</f>
        <v>15.670724761390828</v>
      </c>
      <c r="D15" s="36">
        <f t="shared" ref="D15:BA15" si="12">$B15*(VALUE(RIGHT(D$2,2)))^(-0.03)</f>
        <v>15.481261445667084</v>
      </c>
      <c r="E15" s="36">
        <f t="shared" si="12"/>
        <v>15.348225909204229</v>
      </c>
      <c r="F15" s="36">
        <f t="shared" si="12"/>
        <v>15.245823319713859</v>
      </c>
      <c r="G15" s="36">
        <f t="shared" si="12"/>
        <v>15.162661692136274</v>
      </c>
      <c r="H15" s="36">
        <f t="shared" si="12"/>
        <v>15.09270354003001</v>
      </c>
      <c r="I15" s="36">
        <f t="shared" si="12"/>
        <v>15.032363987424191</v>
      </c>
      <c r="J15" s="36">
        <f t="shared" si="12"/>
        <v>14.97934099681863</v>
      </c>
      <c r="K15" s="36">
        <f t="shared" si="12"/>
        <v>14.932068812751856</v>
      </c>
      <c r="L15" s="36">
        <f t="shared" si="12"/>
        <v>14.889434449229723</v>
      </c>
      <c r="M15" s="36">
        <f t="shared" si="12"/>
        <v>14.850618626722005</v>
      </c>
      <c r="N15" s="36">
        <f t="shared" si="12"/>
        <v>14.815000896165401</v>
      </c>
      <c r="O15" s="36">
        <f t="shared" si="12"/>
        <v>14.782100192567457</v>
      </c>
      <c r="P15" s="36">
        <f t="shared" si="12"/>
        <v>14.751536047933646</v>
      </c>
      <c r="Q15" s="36">
        <f t="shared" si="12"/>
        <v>14.723002409998003</v>
      </c>
      <c r="R15" s="36">
        <f t="shared" si="12"/>
        <v>14.696249452098545</v>
      </c>
      <c r="S15" s="36">
        <f t="shared" si="12"/>
        <v>14.671070616760158</v>
      </c>
      <c r="T15" s="36">
        <f t="shared" si="12"/>
        <v>14.64729318502893</v>
      </c>
      <c r="U15" s="36">
        <f t="shared" si="12"/>
        <v>14.624771280173896</v>
      </c>
      <c r="V15" s="36">
        <f t="shared" si="12"/>
        <v>14.603380589071859</v>
      </c>
      <c r="W15" s="36">
        <f t="shared" si="12"/>
        <v>14.583014319165613</v>
      </c>
      <c r="X15" s="36">
        <f t="shared" si="12"/>
        <v>14.563580059649579</v>
      </c>
      <c r="Y15" s="36">
        <f t="shared" si="12"/>
        <v>14.544997314734026</v>
      </c>
      <c r="Z15" s="36">
        <f t="shared" si="12"/>
        <v>14.527195543495681</v>
      </c>
      <c r="AA15" s="36">
        <f t="shared" si="12"/>
        <v>14.510112586472905</v>
      </c>
      <c r="AB15" s="36">
        <f t="shared" si="12"/>
        <v>14.49369339097179</v>
      </c>
      <c r="AC15" s="36">
        <f t="shared" si="12"/>
        <v>14.477888969564189</v>
      </c>
      <c r="AD15" s="36">
        <f t="shared" si="12"/>
        <v>14.462655542426335</v>
      </c>
      <c r="AE15" s="36">
        <f t="shared" si="12"/>
        <v>14.44795382593145</v>
      </c>
      <c r="AF15" s="36">
        <f t="shared" si="12"/>
        <v>14.43374843857575</v>
      </c>
      <c r="AG15" s="36">
        <f t="shared" si="12"/>
        <v>14.420007401773283</v>
      </c>
      <c r="AH15" s="36">
        <f t="shared" si="12"/>
        <v>14.406701717915464</v>
      </c>
      <c r="AI15" s="36">
        <f t="shared" si="12"/>
        <v>14.393805011786069</v>
      </c>
      <c r="AJ15" s="36">
        <f t="shared" si="12"/>
        <v>14.381293224257341</v>
      </c>
      <c r="AK15" s="36">
        <f t="shared" si="12"/>
        <v>14.369144349386055</v>
      </c>
      <c r="AL15" s="36">
        <f t="shared" si="12"/>
        <v>14.357338207739302</v>
      </c>
      <c r="AM15" s="36">
        <f t="shared" si="12"/>
        <v>14.345856250124001</v>
      </c>
      <c r="AN15" s="36">
        <f t="shared" si="12"/>
        <v>14.334681386958044</v>
      </c>
      <c r="AO15" s="36">
        <f t="shared" si="12"/>
        <v>14.323797839368657</v>
      </c>
      <c r="AP15" s="36">
        <f t="shared" si="12"/>
        <v>14.313191008782969</v>
      </c>
      <c r="AQ15" s="36">
        <f t="shared" si="12"/>
        <v>14.302847362323911</v>
      </c>
      <c r="AR15" s="36">
        <f t="shared" si="12"/>
        <v>14.29275433176895</v>
      </c>
      <c r="AS15" s="36">
        <f t="shared" si="12"/>
        <v>14.2829002241916</v>
      </c>
      <c r="AT15" s="36">
        <f t="shared" si="12"/>
        <v>14.273274142702707</v>
      </c>
      <c r="AU15" s="36">
        <f t="shared" si="12"/>
        <v>14.263865915953026</v>
      </c>
      <c r="AV15" s="36">
        <f t="shared" si="12"/>
        <v>14.254666035261005</v>
      </c>
      <c r="AW15" s="36">
        <f t="shared" si="12"/>
        <v>14.245665598397853</v>
      </c>
      <c r="AX15" s="36">
        <f t="shared" si="12"/>
        <v>14.236856259202153</v>
      </c>
      <c r="AY15" s="36">
        <f t="shared" si="12"/>
        <v>14.228230182314016</v>
      </c>
      <c r="AZ15" s="36">
        <f t="shared" si="12"/>
        <v>14.219780002417453</v>
      </c>
      <c r="BA15" s="37">
        <f t="shared" si="12"/>
        <v>14.211498787463107</v>
      </c>
      <c r="BB15" s="103"/>
    </row>
    <row r="16" spans="1:55" x14ac:dyDescent="0.3">
      <c r="A16" s="83" t="s">
        <v>100</v>
      </c>
      <c r="B16" s="116">
        <v>32</v>
      </c>
      <c r="C16" s="116">
        <f>$B16*(VALUE(RIGHT(C$2,2)))^(-0.13)</f>
        <v>29.242606407340819</v>
      </c>
      <c r="D16" s="116">
        <f t="shared" ref="D16:BA16" si="13">$B16*(VALUE(RIGHT(D$2,2)))^(-0.13)</f>
        <v>27.741134322504106</v>
      </c>
      <c r="E16" s="116">
        <f t="shared" si="13"/>
        <v>26.722813421707823</v>
      </c>
      <c r="F16" s="116">
        <f t="shared" si="13"/>
        <v>25.958756087541534</v>
      </c>
      <c r="G16" s="116">
        <f t="shared" si="13"/>
        <v>25.350721008942525</v>
      </c>
      <c r="H16" s="116">
        <f t="shared" si="13"/>
        <v>24.847759398383523</v>
      </c>
      <c r="I16" s="116">
        <f t="shared" si="13"/>
        <v>24.420147343368946</v>
      </c>
      <c r="J16" s="116">
        <f t="shared" si="13"/>
        <v>24.049079171850479</v>
      </c>
      <c r="K16" s="116">
        <f t="shared" si="13"/>
        <v>23.721927721629356</v>
      </c>
      <c r="L16" s="116">
        <f t="shared" si="13"/>
        <v>23.429818765345306</v>
      </c>
      <c r="M16" s="116">
        <f t="shared" si="13"/>
        <v>23.166286143962878</v>
      </c>
      <c r="N16" s="116">
        <f t="shared" si="13"/>
        <v>22.926477980832381</v>
      </c>
      <c r="O16" s="116">
        <f t="shared" si="13"/>
        <v>22.706664005976034</v>
      </c>
      <c r="P16" s="116">
        <f t="shared" si="13"/>
        <v>22.503916858425342</v>
      </c>
      <c r="Q16" s="116">
        <f t="shared" si="13"/>
        <v>22.315898661606486</v>
      </c>
      <c r="R16" s="116">
        <f t="shared" si="13"/>
        <v>22.140713822640322</v>
      </c>
      <c r="S16" s="116">
        <f t="shared" si="13"/>
        <v>21.976804896293796</v>
      </c>
      <c r="T16" s="116">
        <f t="shared" si="13"/>
        <v>21.822877268038116</v>
      </c>
      <c r="U16" s="116">
        <f t="shared" si="13"/>
        <v>21.677843612093579</v>
      </c>
      <c r="V16" s="116">
        <f t="shared" si="13"/>
        <v>21.540782221369408</v>
      </c>
      <c r="W16" s="116">
        <f t="shared" si="13"/>
        <v>21.410905260947526</v>
      </c>
      <c r="X16" s="116">
        <f t="shared" si="13"/>
        <v>21.287534246083073</v>
      </c>
      <c r="Y16" s="116">
        <f t="shared" si="13"/>
        <v>21.170080863366866</v>
      </c>
      <c r="Z16" s="116">
        <f t="shared" si="13"/>
        <v>21.058031800389834</v>
      </c>
      <c r="AA16" s="116">
        <f t="shared" si="13"/>
        <v>20.950936621876473</v>
      </c>
      <c r="AB16" s="116">
        <f t="shared" si="13"/>
        <v>20.848397988713746</v>
      </c>
      <c r="AC16" s="116">
        <f t="shared" si="13"/>
        <v>20.750063698452806</v>
      </c>
      <c r="AD16" s="116">
        <f t="shared" si="13"/>
        <v>20.655620156119451</v>
      </c>
      <c r="AE16" s="116">
        <f t="shared" si="13"/>
        <v>20.564786978576684</v>
      </c>
      <c r="AF16" s="116">
        <f t="shared" si="13"/>
        <v>20.477312504957936</v>
      </c>
      <c r="AG16" s="116">
        <f t="shared" si="13"/>
        <v>20.392970037108192</v>
      </c>
      <c r="AH16" s="116">
        <f t="shared" si="13"/>
        <v>20.311554672542858</v>
      </c>
      <c r="AI16" s="116">
        <f t="shared" si="13"/>
        <v>20.232880621657536</v>
      </c>
      <c r="AJ16" s="116">
        <f t="shared" si="13"/>
        <v>20.156778923267364</v>
      </c>
      <c r="AK16" s="116">
        <f t="shared" si="13"/>
        <v>20.08309548978875</v>
      </c>
      <c r="AL16" s="116">
        <f t="shared" si="13"/>
        <v>20.011689426776709</v>
      </c>
      <c r="AM16" s="116">
        <f t="shared" si="13"/>
        <v>19.942431582029492</v>
      </c>
      <c r="AN16" s="116">
        <f t="shared" si="13"/>
        <v>19.875203287756367</v>
      </c>
      <c r="AO16" s="116">
        <f t="shared" si="13"/>
        <v>19.809895265885622</v>
      </c>
      <c r="AP16" s="116">
        <f t="shared" si="13"/>
        <v>19.746406671851364</v>
      </c>
      <c r="AQ16" s="116">
        <f t="shared" si="13"/>
        <v>19.684644256429696</v>
      </c>
      <c r="AR16" s="116">
        <f t="shared" si="13"/>
        <v>19.624521628618059</v>
      </c>
      <c r="AS16" s="116">
        <f t="shared" si="13"/>
        <v>19.565958605335979</v>
      </c>
      <c r="AT16" s="116">
        <f t="shared" si="13"/>
        <v>19.508880636001312</v>
      </c>
      <c r="AU16" s="116">
        <f t="shared" si="13"/>
        <v>19.453218291906122</v>
      </c>
      <c r="AV16" s="116">
        <f t="shared" si="13"/>
        <v>19.398906811859529</v>
      </c>
      <c r="AW16" s="116">
        <f t="shared" si="13"/>
        <v>19.345885696844221</v>
      </c>
      <c r="AX16" s="116">
        <f t="shared" si="13"/>
        <v>19.294098347498647</v>
      </c>
      <c r="AY16" s="116">
        <f t="shared" si="13"/>
        <v>19.243491739127077</v>
      </c>
      <c r="AZ16" s="116">
        <f t="shared" si="13"/>
        <v>19.194016129687139</v>
      </c>
      <c r="BA16" s="84">
        <f t="shared" si="13"/>
        <v>19.145624796833633</v>
      </c>
      <c r="BB16" s="103"/>
    </row>
    <row r="17" spans="1:54" x14ac:dyDescent="0.3">
      <c r="A17" s="28" t="s">
        <v>117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6">
        <v>320</v>
      </c>
      <c r="O17" s="36">
        <f>$N17*(VALUE(RIGHT(C$2,2)))^(-0.35)</f>
        <v>251.06691132696025</v>
      </c>
      <c r="P17" s="36">
        <f t="shared" ref="P17:BA17" si="14">$N17*(VALUE(RIGHT(D$2,2)))^(-0.35)</f>
        <v>217.84998740750413</v>
      </c>
      <c r="Q17" s="36">
        <f t="shared" si="14"/>
        <v>196.9831061351866</v>
      </c>
      <c r="R17" s="36">
        <f t="shared" si="14"/>
        <v>182.18410221604898</v>
      </c>
      <c r="S17" s="36">
        <f t="shared" si="14"/>
        <v>170.92163584693512</v>
      </c>
      <c r="T17" s="36">
        <f t="shared" si="14"/>
        <v>161.94429913758714</v>
      </c>
      <c r="U17" s="36">
        <f t="shared" si="14"/>
        <v>154.54981262797531</v>
      </c>
      <c r="V17" s="36">
        <f t="shared" si="14"/>
        <v>148.30817816703032</v>
      </c>
      <c r="W17" s="36">
        <f t="shared" si="14"/>
        <v>142.93874948830822</v>
      </c>
      <c r="X17" s="36">
        <f t="shared" si="14"/>
        <v>138.24917187280025</v>
      </c>
      <c r="Y17" s="36">
        <f t="shared" si="14"/>
        <v>134.10239747200453</v>
      </c>
      <c r="Z17" s="36">
        <f t="shared" si="14"/>
        <v>130.39766210409243</v>
      </c>
      <c r="AA17" s="36">
        <f t="shared" si="14"/>
        <v>127.05892184838535</v>
      </c>
      <c r="AB17" s="36">
        <f t="shared" si="14"/>
        <v>124.02751366754285</v>
      </c>
      <c r="AC17" s="36">
        <f t="shared" si="14"/>
        <v>121.25732532083185</v>
      </c>
      <c r="AD17" s="36">
        <f t="shared" si="14"/>
        <v>118.71151727884671</v>
      </c>
      <c r="AE17" s="36">
        <f t="shared" si="14"/>
        <v>116.3602381778901</v>
      </c>
      <c r="AF17" s="36">
        <f t="shared" si="14"/>
        <v>114.17899551150954</v>
      </c>
      <c r="AG17" s="36">
        <f t="shared" si="14"/>
        <v>112.14746982177395</v>
      </c>
      <c r="AH17" s="36">
        <f t="shared" si="14"/>
        <v>110.24863602450138</v>
      </c>
      <c r="AI17" s="36">
        <f t="shared" si="14"/>
        <v>108.46810179879382</v>
      </c>
      <c r="AJ17" s="36">
        <f t="shared" si="14"/>
        <v>106.79360219799264</v>
      </c>
      <c r="AK17" s="36">
        <f t="shared" si="14"/>
        <v>105.21460854636418</v>
      </c>
      <c r="AL17" s="36">
        <f t="shared" si="14"/>
        <v>103.72202218833681</v>
      </c>
      <c r="AM17" s="36">
        <f t="shared" si="14"/>
        <v>102.30793208978467</v>
      </c>
      <c r="AN17" s="36">
        <f t="shared" si="14"/>
        <v>100.965421081617</v>
      </c>
      <c r="AO17" s="36">
        <f t="shared" si="14"/>
        <v>99.688409578149177</v>
      </c>
      <c r="AP17" s="36">
        <f t="shared" si="14"/>
        <v>98.471528467022637</v>
      </c>
      <c r="AQ17" s="36">
        <f t="shared" si="14"/>
        <v>97.310014925226028</v>
      </c>
      <c r="AR17" s="36">
        <f t="shared" si="14"/>
        <v>96.199626413057672</v>
      </c>
      <c r="AS17" s="36">
        <f t="shared" si="14"/>
        <v>95.136569200217679</v>
      </c>
      <c r="AT17" s="36">
        <f t="shared" si="14"/>
        <v>94.117438598710649</v>
      </c>
      <c r="AU17" s="36">
        <f t="shared" si="14"/>
        <v>93.139168694178466</v>
      </c>
      <c r="AV17" s="36">
        <f t="shared" si="14"/>
        <v>92.19898983558933</v>
      </c>
      <c r="AW17" s="36">
        <f t="shared" si="14"/>
        <v>91.29439250185095</v>
      </c>
      <c r="AX17" s="36">
        <f t="shared" si="14"/>
        <v>90.423096440873621</v>
      </c>
      <c r="AY17" s="36">
        <f t="shared" si="14"/>
        <v>89.583024192154866</v>
      </c>
      <c r="AZ17" s="36">
        <f t="shared" si="14"/>
        <v>88.77227827295161</v>
      </c>
      <c r="BA17" s="37">
        <f t="shared" si="14"/>
        <v>87.989121441519586</v>
      </c>
      <c r="BB17" s="103"/>
    </row>
    <row r="18" spans="1:54" x14ac:dyDescent="0.3">
      <c r="A18" s="28" t="s">
        <v>118</v>
      </c>
      <c r="B18" s="32"/>
      <c r="C18" s="32"/>
      <c r="D18" s="32"/>
      <c r="E18" s="32"/>
      <c r="F18" s="32"/>
      <c r="G18" s="9"/>
      <c r="H18" s="9"/>
      <c r="I18" s="9"/>
      <c r="J18" s="9"/>
      <c r="K18" s="9"/>
      <c r="L18" s="9"/>
      <c r="M18" s="9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>
        <v>320</v>
      </c>
      <c r="AM18" s="36">
        <f>$AL18*(VALUE(RIGHT(C$2,2)))^(-0.35)</f>
        <v>251.06691132696025</v>
      </c>
      <c r="AN18" s="36">
        <f t="shared" ref="AN18:BA18" si="15">$AL18*(VALUE(RIGHT(D$2,2)))^(-0.35)</f>
        <v>217.84998740750413</v>
      </c>
      <c r="AO18" s="36">
        <f t="shared" si="15"/>
        <v>196.9831061351866</v>
      </c>
      <c r="AP18" s="36">
        <f t="shared" si="15"/>
        <v>182.18410221604898</v>
      </c>
      <c r="AQ18" s="36">
        <f t="shared" si="15"/>
        <v>170.92163584693512</v>
      </c>
      <c r="AR18" s="36">
        <f t="shared" si="15"/>
        <v>161.94429913758714</v>
      </c>
      <c r="AS18" s="36">
        <f t="shared" si="15"/>
        <v>154.54981262797531</v>
      </c>
      <c r="AT18" s="36">
        <f t="shared" si="15"/>
        <v>148.30817816703032</v>
      </c>
      <c r="AU18" s="36">
        <f t="shared" si="15"/>
        <v>142.93874948830822</v>
      </c>
      <c r="AV18" s="36">
        <f t="shared" si="15"/>
        <v>138.24917187280025</v>
      </c>
      <c r="AW18" s="36">
        <f t="shared" si="15"/>
        <v>134.10239747200453</v>
      </c>
      <c r="AX18" s="36">
        <f t="shared" si="15"/>
        <v>130.39766210409243</v>
      </c>
      <c r="AY18" s="36">
        <f t="shared" si="15"/>
        <v>127.05892184838535</v>
      </c>
      <c r="AZ18" s="36">
        <f t="shared" si="15"/>
        <v>124.02751366754285</v>
      </c>
      <c r="BA18" s="37">
        <f t="shared" si="15"/>
        <v>121.25732532083185</v>
      </c>
      <c r="BB18" s="103"/>
    </row>
    <row r="19" spans="1:54" ht="16.2" thickBot="1" x14ac:dyDescent="0.35">
      <c r="A19" s="29" t="s">
        <v>119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9"/>
      <c r="BB19" s="103"/>
    </row>
    <row r="20" spans="1:54" x14ac:dyDescent="0.3">
      <c r="B20" s="49"/>
      <c r="C20" s="50"/>
    </row>
    <row r="22" spans="1:54" x14ac:dyDescent="0.3">
      <c r="B22" s="50"/>
    </row>
    <row r="23" spans="1:54" x14ac:dyDescent="0.3">
      <c r="B23" s="50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59-CF57-42CD-9C09-61C92D7047B6}">
  <sheetPr>
    <tabColor rgb="FFD9C6FE"/>
  </sheetPr>
  <dimension ref="A1:AR56"/>
  <sheetViews>
    <sheetView showZeros="0" zoomScale="70" zoomScaleNormal="7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tr">
        <f>_xlfn.CONCAT( "Table of Initial Pipeline Capacity between Sites [",VLOOKUP("volume", Units!$A$2:$B$11, 2, FALSE),"/", VLOOKUP("time", Units!$A$2:$B$11, 2, FALSE),"]")</f>
        <v>Table of Initial Pipeline Capacity between Sites [bbl/day]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14206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14206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14206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14286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14206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14206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14206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14206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14206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14206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14206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14206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14206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42857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42857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42857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42857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42857</v>
      </c>
      <c r="E21" s="9">
        <v>0</v>
      </c>
      <c r="F21" s="9">
        <v>42857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42857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42857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42857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42857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42857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42857</v>
      </c>
      <c r="J26" s="9">
        <v>35714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35714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35714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35714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35714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42857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42857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35714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42857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42857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42857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42857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42857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42857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42857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42857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42857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42857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42857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>
        <v>42857</v>
      </c>
      <c r="AQ51" s="93">
        <v>42857</v>
      </c>
      <c r="AR51" s="101">
        <v>42857</v>
      </c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>
        <v>42857</v>
      </c>
      <c r="AQ52" s="98">
        <v>42857</v>
      </c>
      <c r="AR52" s="102">
        <v>42857</v>
      </c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71429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71429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71429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B03F-43EE-4FD3-B5B4-0D52688676BC}">
  <sheetPr>
    <tabColor rgb="FFD9C6FE"/>
  </sheetPr>
  <dimension ref="A1:AR56"/>
  <sheetViews>
    <sheetView showZeros="0" zoomScale="60" zoomScaleNormal="6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">
        <v>292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8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8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8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8</v>
      </c>
      <c r="E21" s="9">
        <v>0</v>
      </c>
      <c r="F21" s="9">
        <v>8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8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8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8</v>
      </c>
      <c r="J26" s="9">
        <v>8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8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8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8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8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8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8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8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8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8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8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10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10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10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10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10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/>
      <c r="AQ51" s="93"/>
      <c r="AR51" s="101"/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/>
      <c r="AQ52" s="98"/>
      <c r="AR52" s="102"/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6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6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6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5BC4-7454-4A45-AA93-771B11A13108}">
  <sheetPr>
    <tabColor rgb="FFD9C6FE"/>
  </sheetPr>
  <dimension ref="A1:C7"/>
  <sheetViews>
    <sheetView workbookViewId="0">
      <selection activeCell="A13" sqref="A13"/>
    </sheetView>
  </sheetViews>
  <sheetFormatPr defaultColWidth="9.33203125" defaultRowHeight="15.6" x14ac:dyDescent="0.3"/>
  <cols>
    <col min="1" max="1" width="12.109375" style="1" customWidth="1"/>
    <col min="2" max="16384" width="9.33203125" style="1"/>
  </cols>
  <sheetData>
    <row r="1" spans="1:3" ht="16.2" thickBot="1" x14ac:dyDescent="0.35">
      <c r="A1" s="1" t="str">
        <f>_xlfn.CONCAT( "Table of Initial Disposal Capacity [",VLOOKUP("volume", Units!$A$2:$B$11, 2, FALSE),"/", VLOOKUP("time", Units!$A$2:$B$11, 2, FALSE),"]")</f>
        <v>Table of Initial Disposal Capacity [bbl/day]</v>
      </c>
    </row>
    <row r="2" spans="1:3" s="8" customFormat="1" x14ac:dyDescent="0.3">
      <c r="A2" s="6" t="s">
        <v>257</v>
      </c>
      <c r="B2" s="27" t="s">
        <v>44</v>
      </c>
    </row>
    <row r="3" spans="1:3" x14ac:dyDescent="0.3">
      <c r="A3" s="28" t="s">
        <v>121</v>
      </c>
      <c r="B3" s="37">
        <v>9285.7142857143008</v>
      </c>
    </row>
    <row r="4" spans="1:3" x14ac:dyDescent="0.3">
      <c r="A4" s="28" t="s">
        <v>122</v>
      </c>
      <c r="B4" s="37">
        <v>9285.7142857143008</v>
      </c>
    </row>
    <row r="5" spans="1:3" x14ac:dyDescent="0.3">
      <c r="A5" s="28" t="s">
        <v>123</v>
      </c>
      <c r="B5" s="37">
        <v>0</v>
      </c>
    </row>
    <row r="6" spans="1:3" x14ac:dyDescent="0.3">
      <c r="A6" s="28" t="s">
        <v>124</v>
      </c>
      <c r="B6" s="37">
        <v>30000</v>
      </c>
      <c r="C6" s="49"/>
    </row>
    <row r="7" spans="1:3" ht="16.2" thickBot="1" x14ac:dyDescent="0.35">
      <c r="A7" s="29" t="s">
        <v>125</v>
      </c>
      <c r="B7" s="48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796A-A87C-4F37-A825-AF0AD18C802A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16384" width="9.33203125" style="1"/>
  </cols>
  <sheetData>
    <row r="1" spans="1:2" ht="16.2" thickBot="1" x14ac:dyDescent="0.35">
      <c r="A1" s="1" t="str">
        <f>_xlfn.CONCAT( "Table of Initial Storage Capacity [",VLOOKUP("volume", Units!$A$2:$B$11, 2, FALSE),"]")</f>
        <v>Table of Initial Storage Capacity [bbl]</v>
      </c>
    </row>
    <row r="2" spans="1:2" s="8" customFormat="1" x14ac:dyDescent="0.3">
      <c r="A2" s="6" t="s">
        <v>198</v>
      </c>
      <c r="B2" s="27" t="s">
        <v>44</v>
      </c>
    </row>
    <row r="3" spans="1:2" x14ac:dyDescent="0.3">
      <c r="A3" s="28" t="s">
        <v>129</v>
      </c>
      <c r="B3" s="37">
        <v>0</v>
      </c>
    </row>
    <row r="4" spans="1:2" x14ac:dyDescent="0.3">
      <c r="A4" s="28" t="s">
        <v>130</v>
      </c>
      <c r="B4" s="37">
        <v>0</v>
      </c>
    </row>
    <row r="5" spans="1:2" ht="16.2" thickBot="1" x14ac:dyDescent="0.35">
      <c r="A5" s="29" t="s">
        <v>131</v>
      </c>
      <c r="B5" s="48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3F53-E3AE-452E-A1A1-316A2C800322}">
  <sheetPr>
    <tabColor rgb="FFD9C6FE"/>
  </sheetPr>
  <dimension ref="A1:F6"/>
  <sheetViews>
    <sheetView workbookViewId="0">
      <selection activeCell="I8" sqref="I8"/>
    </sheetView>
  </sheetViews>
  <sheetFormatPr defaultColWidth="9.33203125" defaultRowHeight="15.6" x14ac:dyDescent="0.3"/>
  <cols>
    <col min="1" max="1" width="14.88671875" style="1" customWidth="1"/>
    <col min="2" max="16384" width="9.33203125" style="1"/>
  </cols>
  <sheetData>
    <row r="1" spans="1:6" ht="16.2" thickBot="1" x14ac:dyDescent="0.35">
      <c r="A1" s="1" t="str">
        <f>_xlfn.CONCAT( "Table of Initial Treatment Capacity [",VLOOKUP("volume", Units!$A$2:$B$11, 2, FALSE),"/", VLOOKUP("time", Units!$A$2:$B$11, 2, FALSE),"]")</f>
        <v>Table of Initial Treatment Capacity [bbl/day]</v>
      </c>
    </row>
    <row r="2" spans="1:6" s="8" customFormat="1" x14ac:dyDescent="0.3">
      <c r="A2" s="6" t="s">
        <v>196</v>
      </c>
      <c r="B2" s="86" t="s">
        <v>137</v>
      </c>
      <c r="C2" s="7" t="s">
        <v>138</v>
      </c>
      <c r="D2" s="7" t="s">
        <v>346</v>
      </c>
      <c r="E2" s="7" t="s">
        <v>347</v>
      </c>
      <c r="F2" s="27" t="s">
        <v>348</v>
      </c>
    </row>
    <row r="3" spans="1:6" s="8" customFormat="1" x14ac:dyDescent="0.3">
      <c r="A3" s="28" t="s">
        <v>133</v>
      </c>
      <c r="B3" s="85">
        <v>0</v>
      </c>
      <c r="C3" s="36">
        <v>0</v>
      </c>
      <c r="D3" s="166">
        <v>0</v>
      </c>
      <c r="E3" s="166">
        <v>0</v>
      </c>
      <c r="F3" s="47">
        <v>0</v>
      </c>
    </row>
    <row r="4" spans="1:6" s="8" customFormat="1" x14ac:dyDescent="0.3">
      <c r="A4" s="28" t="s">
        <v>134</v>
      </c>
      <c r="B4" s="85">
        <v>0</v>
      </c>
      <c r="C4" s="36">
        <v>0</v>
      </c>
      <c r="D4" s="36">
        <v>0</v>
      </c>
      <c r="E4" s="36">
        <v>0</v>
      </c>
      <c r="F4" s="37">
        <v>0</v>
      </c>
    </row>
    <row r="5" spans="1:6" s="8" customFormat="1" x14ac:dyDescent="0.3">
      <c r="A5" s="28" t="s">
        <v>135</v>
      </c>
      <c r="B5" s="85">
        <v>0</v>
      </c>
      <c r="C5" s="36">
        <v>0</v>
      </c>
      <c r="D5" s="36">
        <v>0</v>
      </c>
      <c r="E5" s="36">
        <v>0</v>
      </c>
      <c r="F5" s="37">
        <v>0</v>
      </c>
    </row>
    <row r="6" spans="1:6" s="8" customFormat="1" ht="16.2" thickBot="1" x14ac:dyDescent="0.35">
      <c r="A6" s="29" t="s">
        <v>136</v>
      </c>
      <c r="B6" s="46">
        <v>0</v>
      </c>
      <c r="C6" s="38">
        <v>0</v>
      </c>
      <c r="D6" s="38">
        <v>0</v>
      </c>
      <c r="E6" s="38">
        <v>0</v>
      </c>
      <c r="F6" s="3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10C-C440-4ADB-A331-07AA535B16B7}">
  <sheetPr>
    <tabColor rgb="FFD9C6FE"/>
  </sheetPr>
  <dimension ref="B1"/>
  <sheetViews>
    <sheetView topLeftCell="B1"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2:2" x14ac:dyDescent="0.3">
      <c r="B1" s="1" t="str">
        <f>_xlfn.CONCAT( "Table of Beneficial Reuse minimum required flow [",VLOOKUP("volume", Units!$A$2:$B$11, 2, FALSE),"/", VLOOKUP("time", Units!$A$2:$B$11, 2, FALSE),"]")</f>
        <v>Table of Beneficial Reuse minimum required flow [bbl/day]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3B1-CE73-47E8-BFE4-E0C0165A2C32}">
  <sheetPr>
    <tabColor rgb="FFD9C6FE"/>
  </sheetPr>
  <dimension ref="A1"/>
  <sheetViews>
    <sheetView workbookViewId="0">
      <selection activeCell="A2" sqref="A2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of Beneficial Reuse Capacity [",VLOOKUP("volume", Units!$A$2:$B$11, 2, FALSE),"/", VLOOKUP("time", Units!$A$2:$B$11, 2, FALSE),"] (leave cells blank to indicate infinite capacity)")</f>
        <v>Table of Beneficial Reuse Capacity [bbl/day] (leave cells blank to indicate infinite capacity)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DBF7-A8C0-4CE1-BE66-F8E077B6F0F1}">
  <sheetPr>
    <tabColor rgb="FFD9C6FE"/>
  </sheetPr>
  <dimension ref="A1:BA15"/>
  <sheetViews>
    <sheetView workbookViewId="0">
      <selection activeCell="A6" sqref="A6"/>
    </sheetView>
  </sheetViews>
  <sheetFormatPr defaultColWidth="9.33203125" defaultRowHeight="15.6" x14ac:dyDescent="0.3"/>
  <cols>
    <col min="1" max="1" width="24.6640625" style="1" customWidth="1"/>
    <col min="2" max="16384" width="9.33203125" style="1"/>
  </cols>
  <sheetData>
    <row r="1" spans="1:53" ht="16.2" thickBot="1" x14ac:dyDescent="0.35">
      <c r="A1" s="1" t="str">
        <f>_xlfn.CONCAT( "Table of External Water Sourcing Availability [",VLOOKUP("volume", Units!$A$2:$B$11, 2, FALSE),"/", VLOOKUP("time", Units!$A$2:$B$11, 2, FALSE),"]")</f>
        <v>Table of External Water Sourcing Availability [bbl/day]</v>
      </c>
      <c r="E1" s="1" t="s">
        <v>126</v>
      </c>
      <c r="F1" s="1">
        <v>71428.571428571406</v>
      </c>
      <c r="H1" s="1" t="s">
        <v>127</v>
      </c>
      <c r="I1" s="1">
        <v>42857.142857142899</v>
      </c>
      <c r="K1" s="1" t="s">
        <v>275</v>
      </c>
      <c r="L1" s="1">
        <v>0.7</v>
      </c>
    </row>
    <row r="2" spans="1:53" s="8" customFormat="1" x14ac:dyDescent="0.3">
      <c r="A2" s="6" t="s">
        <v>333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126</v>
      </c>
      <c r="B3" s="36">
        <f>$F$1*$L$1</f>
        <v>49999.999999999978</v>
      </c>
      <c r="C3" s="36">
        <f t="shared" ref="C3:BA3" si="0">$F$1*$L$1</f>
        <v>49999.999999999978</v>
      </c>
      <c r="D3" s="36">
        <f t="shared" si="0"/>
        <v>49999.999999999978</v>
      </c>
      <c r="E3" s="36">
        <f t="shared" si="0"/>
        <v>49999.999999999978</v>
      </c>
      <c r="F3" s="36">
        <f t="shared" si="0"/>
        <v>49999.999999999978</v>
      </c>
      <c r="G3" s="36">
        <f t="shared" si="0"/>
        <v>49999.999999999978</v>
      </c>
      <c r="H3" s="36">
        <f t="shared" si="0"/>
        <v>49999.999999999978</v>
      </c>
      <c r="I3" s="36">
        <f t="shared" si="0"/>
        <v>49999.999999999978</v>
      </c>
      <c r="J3" s="36">
        <f t="shared" si="0"/>
        <v>49999.999999999978</v>
      </c>
      <c r="K3" s="36">
        <f t="shared" si="0"/>
        <v>49999.999999999978</v>
      </c>
      <c r="L3" s="36">
        <f t="shared" si="0"/>
        <v>49999.999999999978</v>
      </c>
      <c r="M3" s="36">
        <f t="shared" si="0"/>
        <v>49999.999999999978</v>
      </c>
      <c r="N3" s="36">
        <f t="shared" si="0"/>
        <v>49999.999999999978</v>
      </c>
      <c r="O3" s="36">
        <f t="shared" si="0"/>
        <v>49999.999999999978</v>
      </c>
      <c r="P3" s="36">
        <f t="shared" si="0"/>
        <v>49999.999999999978</v>
      </c>
      <c r="Q3" s="36">
        <f t="shared" si="0"/>
        <v>49999.999999999978</v>
      </c>
      <c r="R3" s="36">
        <f t="shared" si="0"/>
        <v>49999.999999999978</v>
      </c>
      <c r="S3" s="36">
        <f t="shared" si="0"/>
        <v>49999.999999999978</v>
      </c>
      <c r="T3" s="36">
        <f t="shared" si="0"/>
        <v>49999.999999999978</v>
      </c>
      <c r="U3" s="36">
        <f t="shared" si="0"/>
        <v>49999.999999999978</v>
      </c>
      <c r="V3" s="36">
        <f t="shared" si="0"/>
        <v>49999.999999999978</v>
      </c>
      <c r="W3" s="36">
        <f t="shared" si="0"/>
        <v>49999.999999999978</v>
      </c>
      <c r="X3" s="36">
        <f t="shared" si="0"/>
        <v>49999.999999999978</v>
      </c>
      <c r="Y3" s="36">
        <f t="shared" si="0"/>
        <v>49999.999999999978</v>
      </c>
      <c r="Z3" s="36">
        <f t="shared" si="0"/>
        <v>49999.999999999978</v>
      </c>
      <c r="AA3" s="36">
        <f t="shared" si="0"/>
        <v>49999.999999999978</v>
      </c>
      <c r="AB3" s="36">
        <f t="shared" si="0"/>
        <v>49999.999999999978</v>
      </c>
      <c r="AC3" s="36">
        <f t="shared" si="0"/>
        <v>49999.999999999978</v>
      </c>
      <c r="AD3" s="36">
        <f t="shared" si="0"/>
        <v>49999.999999999978</v>
      </c>
      <c r="AE3" s="36">
        <f t="shared" si="0"/>
        <v>49999.999999999978</v>
      </c>
      <c r="AF3" s="36">
        <f t="shared" si="0"/>
        <v>49999.999999999978</v>
      </c>
      <c r="AG3" s="36">
        <f t="shared" si="0"/>
        <v>49999.999999999978</v>
      </c>
      <c r="AH3" s="36">
        <f t="shared" si="0"/>
        <v>49999.999999999978</v>
      </c>
      <c r="AI3" s="36">
        <f t="shared" si="0"/>
        <v>49999.999999999978</v>
      </c>
      <c r="AJ3" s="36">
        <f t="shared" si="0"/>
        <v>49999.999999999978</v>
      </c>
      <c r="AK3" s="36">
        <f t="shared" si="0"/>
        <v>49999.999999999978</v>
      </c>
      <c r="AL3" s="36">
        <f t="shared" si="0"/>
        <v>49999.999999999978</v>
      </c>
      <c r="AM3" s="36">
        <f t="shared" si="0"/>
        <v>49999.999999999978</v>
      </c>
      <c r="AN3" s="36">
        <f t="shared" si="0"/>
        <v>49999.999999999978</v>
      </c>
      <c r="AO3" s="36">
        <f t="shared" si="0"/>
        <v>49999.999999999978</v>
      </c>
      <c r="AP3" s="36">
        <f t="shared" si="0"/>
        <v>49999.999999999978</v>
      </c>
      <c r="AQ3" s="36">
        <f t="shared" si="0"/>
        <v>49999.999999999978</v>
      </c>
      <c r="AR3" s="36">
        <f t="shared" si="0"/>
        <v>49999.999999999978</v>
      </c>
      <c r="AS3" s="36">
        <f t="shared" si="0"/>
        <v>49999.999999999978</v>
      </c>
      <c r="AT3" s="36">
        <f t="shared" si="0"/>
        <v>49999.999999999978</v>
      </c>
      <c r="AU3" s="36">
        <f t="shared" si="0"/>
        <v>49999.999999999978</v>
      </c>
      <c r="AV3" s="36">
        <f t="shared" si="0"/>
        <v>49999.999999999978</v>
      </c>
      <c r="AW3" s="36">
        <f t="shared" si="0"/>
        <v>49999.999999999978</v>
      </c>
      <c r="AX3" s="36">
        <f t="shared" si="0"/>
        <v>49999.999999999978</v>
      </c>
      <c r="AY3" s="36">
        <f t="shared" si="0"/>
        <v>49999.999999999978</v>
      </c>
      <c r="AZ3" s="36">
        <f t="shared" si="0"/>
        <v>49999.999999999978</v>
      </c>
      <c r="BA3" s="37">
        <f t="shared" si="0"/>
        <v>49999.999999999978</v>
      </c>
    </row>
    <row r="4" spans="1:53" ht="16.2" thickBot="1" x14ac:dyDescent="0.35">
      <c r="A4" s="29" t="s">
        <v>127</v>
      </c>
      <c r="B4" s="46">
        <f>$I$1*$L$1</f>
        <v>30000.000000000025</v>
      </c>
      <c r="C4" s="38">
        <f t="shared" ref="C4:BA4" si="1">$I$1*$L$1</f>
        <v>30000.000000000025</v>
      </c>
      <c r="D4" s="38">
        <f t="shared" si="1"/>
        <v>30000.000000000025</v>
      </c>
      <c r="E4" s="38">
        <f t="shared" si="1"/>
        <v>30000.000000000025</v>
      </c>
      <c r="F4" s="38">
        <f t="shared" si="1"/>
        <v>30000.000000000025</v>
      </c>
      <c r="G4" s="38">
        <f t="shared" si="1"/>
        <v>30000.000000000025</v>
      </c>
      <c r="H4" s="38">
        <f t="shared" si="1"/>
        <v>30000.000000000025</v>
      </c>
      <c r="I4" s="38">
        <f t="shared" si="1"/>
        <v>30000.000000000025</v>
      </c>
      <c r="J4" s="38">
        <f t="shared" si="1"/>
        <v>30000.000000000025</v>
      </c>
      <c r="K4" s="38">
        <f t="shared" si="1"/>
        <v>30000.000000000025</v>
      </c>
      <c r="L4" s="38">
        <f t="shared" si="1"/>
        <v>30000.000000000025</v>
      </c>
      <c r="M4" s="38">
        <f t="shared" si="1"/>
        <v>30000.000000000025</v>
      </c>
      <c r="N4" s="38">
        <f t="shared" si="1"/>
        <v>30000.000000000025</v>
      </c>
      <c r="O4" s="38">
        <f t="shared" si="1"/>
        <v>30000.000000000025</v>
      </c>
      <c r="P4" s="38">
        <f t="shared" si="1"/>
        <v>30000.000000000025</v>
      </c>
      <c r="Q4" s="38">
        <f t="shared" si="1"/>
        <v>30000.000000000025</v>
      </c>
      <c r="R4" s="38">
        <f t="shared" si="1"/>
        <v>30000.000000000025</v>
      </c>
      <c r="S4" s="38">
        <f t="shared" si="1"/>
        <v>30000.000000000025</v>
      </c>
      <c r="T4" s="38">
        <f t="shared" si="1"/>
        <v>30000.000000000025</v>
      </c>
      <c r="U4" s="38">
        <f t="shared" si="1"/>
        <v>30000.000000000025</v>
      </c>
      <c r="V4" s="38">
        <f t="shared" si="1"/>
        <v>30000.000000000025</v>
      </c>
      <c r="W4" s="38">
        <f t="shared" si="1"/>
        <v>30000.000000000025</v>
      </c>
      <c r="X4" s="38">
        <f t="shared" si="1"/>
        <v>30000.000000000025</v>
      </c>
      <c r="Y4" s="38">
        <f t="shared" si="1"/>
        <v>30000.000000000025</v>
      </c>
      <c r="Z4" s="38">
        <f t="shared" si="1"/>
        <v>30000.000000000025</v>
      </c>
      <c r="AA4" s="38">
        <f t="shared" si="1"/>
        <v>30000.000000000025</v>
      </c>
      <c r="AB4" s="38">
        <f t="shared" si="1"/>
        <v>30000.000000000025</v>
      </c>
      <c r="AC4" s="38">
        <f t="shared" si="1"/>
        <v>30000.000000000025</v>
      </c>
      <c r="AD4" s="38">
        <f t="shared" si="1"/>
        <v>30000.000000000025</v>
      </c>
      <c r="AE4" s="38">
        <f t="shared" si="1"/>
        <v>30000.000000000025</v>
      </c>
      <c r="AF4" s="38">
        <f t="shared" si="1"/>
        <v>30000.000000000025</v>
      </c>
      <c r="AG4" s="38">
        <f t="shared" si="1"/>
        <v>30000.000000000025</v>
      </c>
      <c r="AH4" s="38">
        <f t="shared" si="1"/>
        <v>30000.000000000025</v>
      </c>
      <c r="AI4" s="38">
        <f t="shared" si="1"/>
        <v>30000.000000000025</v>
      </c>
      <c r="AJ4" s="38">
        <f t="shared" si="1"/>
        <v>30000.000000000025</v>
      </c>
      <c r="AK4" s="38">
        <f t="shared" si="1"/>
        <v>30000.000000000025</v>
      </c>
      <c r="AL4" s="38">
        <f t="shared" si="1"/>
        <v>30000.000000000025</v>
      </c>
      <c r="AM4" s="38">
        <f t="shared" si="1"/>
        <v>30000.000000000025</v>
      </c>
      <c r="AN4" s="38">
        <f t="shared" si="1"/>
        <v>30000.000000000025</v>
      </c>
      <c r="AO4" s="38">
        <f t="shared" si="1"/>
        <v>30000.000000000025</v>
      </c>
      <c r="AP4" s="38">
        <f t="shared" si="1"/>
        <v>30000.000000000025</v>
      </c>
      <c r="AQ4" s="38">
        <f t="shared" si="1"/>
        <v>30000.000000000025</v>
      </c>
      <c r="AR4" s="38">
        <f t="shared" si="1"/>
        <v>30000.000000000025</v>
      </c>
      <c r="AS4" s="38">
        <f t="shared" si="1"/>
        <v>30000.000000000025</v>
      </c>
      <c r="AT4" s="38">
        <f t="shared" si="1"/>
        <v>30000.000000000025</v>
      </c>
      <c r="AU4" s="38">
        <f t="shared" si="1"/>
        <v>30000.000000000025</v>
      </c>
      <c r="AV4" s="38">
        <f t="shared" si="1"/>
        <v>30000.000000000025</v>
      </c>
      <c r="AW4" s="38">
        <f t="shared" si="1"/>
        <v>30000.000000000025</v>
      </c>
      <c r="AX4" s="38">
        <f t="shared" si="1"/>
        <v>30000.000000000025</v>
      </c>
      <c r="AY4" s="38">
        <f t="shared" si="1"/>
        <v>30000.000000000025</v>
      </c>
      <c r="AZ4" s="38">
        <f t="shared" si="1"/>
        <v>30000.000000000025</v>
      </c>
      <c r="BA4" s="39">
        <f t="shared" si="1"/>
        <v>30000.000000000025</v>
      </c>
    </row>
    <row r="15" spans="1:53" x14ac:dyDescent="0.3">
      <c r="F15" s="12"/>
    </row>
  </sheetData>
  <phoneticPr fontId="2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93D-71C1-4CA2-A5D0-D94D2FB81D42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Completions Pad Storage Capacity [",VLOOKUP("volume", Units!$A$2:$B$11, 2, FALSE),"]")</f>
        <v>Table of Completions Pad Storage Capacity [bbl]</v>
      </c>
    </row>
    <row r="2" spans="1:2" s="8" customFormat="1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6A0-7BAD-498F-AAE7-F43EE79415DD}">
  <sheetPr>
    <tabColor rgb="FFD9C6FE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7.5546875" style="1" customWidth="1"/>
    <col min="2" max="16384" width="9.33203125" style="1"/>
  </cols>
  <sheetData>
    <row r="1" spans="1:2" ht="16.2" thickBot="1" x14ac:dyDescent="0.35">
      <c r="A1" s="1" t="str">
        <f>_xlfn.CONCAT( "Table of Pad Offloading Capacity [",VLOOKUP("volume", Units!$A$2:$B$11, 2, FALSE),"/", VLOOKUP("time", Units!$A$2:$B$11, 2, FALSE),"]")</f>
        <v>Table of Pad Offloading Capacity [bbl/day]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7">
        <v>30000</v>
      </c>
    </row>
    <row r="4" spans="1:2" ht="16.2" thickBot="1" x14ac:dyDescent="0.35">
      <c r="A4" s="29" t="s">
        <v>118</v>
      </c>
      <c r="B4" s="39">
        <v>30000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C221-12DF-4609-BB39-C92B41E7288D}">
  <sheetPr>
    <tabColor rgb="FFD9C6FE"/>
  </sheetPr>
  <dimension ref="A1:B31"/>
  <sheetViews>
    <sheetView workbookViewId="0">
      <selection activeCell="A13" sqref="A13"/>
    </sheetView>
  </sheetViews>
  <sheetFormatPr defaultColWidth="9.33203125" defaultRowHeight="15.6" x14ac:dyDescent="0.3"/>
  <cols>
    <col min="1" max="1" width="11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Node Capacity Capacity [",VLOOKUP("volume", Units!$A$2:$B$11, 2, FALSE),"/", VLOOKUP("time", Units!$A$2:$B$11, 2, FALSE),"]", " *absence of node or empty cell signifies no max capacity")</f>
        <v>Table of Node Capacity Capacity [bbl/day] *absence of node or empty cell signifies no max capacity</v>
      </c>
    </row>
    <row r="2" spans="1:2" s="8" customFormat="1" x14ac:dyDescent="0.3">
      <c r="A2" s="6" t="s">
        <v>256</v>
      </c>
      <c r="B2" s="27" t="s">
        <v>44</v>
      </c>
    </row>
    <row r="3" spans="1:2" x14ac:dyDescent="0.3">
      <c r="A3" s="28" t="s">
        <v>141</v>
      </c>
      <c r="B3" s="37"/>
    </row>
    <row r="4" spans="1:2" x14ac:dyDescent="0.3">
      <c r="A4" s="28" t="s">
        <v>142</v>
      </c>
      <c r="B4" s="37"/>
    </row>
    <row r="5" spans="1:2" x14ac:dyDescent="0.3">
      <c r="A5" s="28" t="s">
        <v>143</v>
      </c>
      <c r="B5" s="37"/>
    </row>
    <row r="6" spans="1:2" x14ac:dyDescent="0.3">
      <c r="A6" s="28" t="s">
        <v>144</v>
      </c>
      <c r="B6" s="37"/>
    </row>
    <row r="7" spans="1:2" x14ac:dyDescent="0.3">
      <c r="A7" s="28" t="s">
        <v>145</v>
      </c>
      <c r="B7" s="37"/>
    </row>
    <row r="8" spans="1:2" x14ac:dyDescent="0.3">
      <c r="A8" s="28" t="s">
        <v>146</v>
      </c>
      <c r="B8" s="37"/>
    </row>
    <row r="9" spans="1:2" x14ac:dyDescent="0.3">
      <c r="A9" s="28" t="s">
        <v>147</v>
      </c>
      <c r="B9" s="37"/>
    </row>
    <row r="10" spans="1:2" x14ac:dyDescent="0.3">
      <c r="A10" s="28" t="s">
        <v>148</v>
      </c>
      <c r="B10" s="37"/>
    </row>
    <row r="11" spans="1:2" x14ac:dyDescent="0.3">
      <c r="A11" s="28" t="s">
        <v>149</v>
      </c>
      <c r="B11" s="37"/>
    </row>
    <row r="12" spans="1:2" x14ac:dyDescent="0.3">
      <c r="A12" s="28" t="s">
        <v>150</v>
      </c>
      <c r="B12" s="37"/>
    </row>
    <row r="13" spans="1:2" x14ac:dyDescent="0.3">
      <c r="A13" s="28" t="s">
        <v>151</v>
      </c>
      <c r="B13" s="37"/>
    </row>
    <row r="14" spans="1:2" x14ac:dyDescent="0.3">
      <c r="A14" s="28" t="s">
        <v>152</v>
      </c>
      <c r="B14" s="37"/>
    </row>
    <row r="15" spans="1:2" x14ac:dyDescent="0.3">
      <c r="A15" s="28" t="s">
        <v>153</v>
      </c>
      <c r="B15" s="37"/>
    </row>
    <row r="16" spans="1:2" x14ac:dyDescent="0.3">
      <c r="A16" s="28" t="s">
        <v>154</v>
      </c>
      <c r="B16" s="37"/>
    </row>
    <row r="17" spans="1:2" x14ac:dyDescent="0.3">
      <c r="A17" s="28" t="s">
        <v>155</v>
      </c>
      <c r="B17" s="37"/>
    </row>
    <row r="18" spans="1:2" x14ac:dyDescent="0.3">
      <c r="A18" s="28" t="s">
        <v>156</v>
      </c>
      <c r="B18" s="37"/>
    </row>
    <row r="19" spans="1:2" x14ac:dyDescent="0.3">
      <c r="A19" s="28" t="s">
        <v>157</v>
      </c>
      <c r="B19" s="37"/>
    </row>
    <row r="20" spans="1:2" x14ac:dyDescent="0.3">
      <c r="A20" s="28" t="s">
        <v>158</v>
      </c>
      <c r="B20" s="37"/>
    </row>
    <row r="21" spans="1:2" x14ac:dyDescent="0.3">
      <c r="A21" s="28" t="s">
        <v>159</v>
      </c>
      <c r="B21" s="37"/>
    </row>
    <row r="22" spans="1:2" x14ac:dyDescent="0.3">
      <c r="A22" s="28" t="s">
        <v>160</v>
      </c>
      <c r="B22" s="37"/>
    </row>
    <row r="23" spans="1:2" x14ac:dyDescent="0.3">
      <c r="A23" s="28" t="s">
        <v>161</v>
      </c>
      <c r="B23" s="37"/>
    </row>
    <row r="24" spans="1:2" x14ac:dyDescent="0.3">
      <c r="A24" s="28" t="s">
        <v>162</v>
      </c>
      <c r="B24" s="37"/>
    </row>
    <row r="25" spans="1:2" x14ac:dyDescent="0.3">
      <c r="A25" s="28" t="s">
        <v>163</v>
      </c>
      <c r="B25" s="37"/>
    </row>
    <row r="26" spans="1:2" x14ac:dyDescent="0.3">
      <c r="A26" s="28" t="s">
        <v>164</v>
      </c>
      <c r="B26" s="37"/>
    </row>
    <row r="27" spans="1:2" x14ac:dyDescent="0.3">
      <c r="A27" s="28" t="s">
        <v>165</v>
      </c>
      <c r="B27" s="37"/>
    </row>
    <row r="28" spans="1:2" x14ac:dyDescent="0.3">
      <c r="A28" s="28" t="s">
        <v>166</v>
      </c>
      <c r="B28" s="37"/>
    </row>
    <row r="29" spans="1:2" x14ac:dyDescent="0.3">
      <c r="A29" s="28" t="s">
        <v>167</v>
      </c>
      <c r="B29" s="37"/>
    </row>
    <row r="30" spans="1:2" ht="16.2" thickBot="1" x14ac:dyDescent="0.35">
      <c r="A30" s="29" t="s">
        <v>168</v>
      </c>
      <c r="B30" s="39"/>
    </row>
    <row r="31" spans="1:2" x14ac:dyDescent="0.3">
      <c r="A31" s="13"/>
      <c r="B31" s="103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1661-765C-4FF3-9C8D-056B836A43E1}">
  <sheetPr>
    <tabColor rgb="FFD9C6FE"/>
  </sheetPr>
  <dimension ref="A1:BD12"/>
  <sheetViews>
    <sheetView showZeros="0" topLeftCell="AG1" workbookViewId="0">
      <selection activeCell="AP11" sqref="AP11"/>
    </sheetView>
  </sheetViews>
  <sheetFormatPr defaultColWidth="9.33203125" defaultRowHeight="15.6" x14ac:dyDescent="0.3"/>
  <cols>
    <col min="1" max="1" width="16.5546875" style="1" customWidth="1"/>
    <col min="2" max="2" width="15.44140625" style="1" bestFit="1" customWidth="1"/>
    <col min="3" max="3" width="9.88671875" style="1" bestFit="1" customWidth="1"/>
    <col min="4" max="16384" width="9.33203125" style="1"/>
  </cols>
  <sheetData>
    <row r="1" spans="1:56" ht="16.2" thickBot="1" x14ac:dyDescent="0.35">
      <c r="A1" s="1" t="str">
        <f>_xlfn.CONCAT( "Operating Capacity of Disposal Site [%]")</f>
        <v>Operating Capacity of Disposal Site [%]</v>
      </c>
    </row>
    <row r="2" spans="1:56" s="8" customFormat="1" x14ac:dyDescent="0.3">
      <c r="A2" s="6" t="s">
        <v>257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6" s="8" customFormat="1" x14ac:dyDescent="0.3">
      <c r="A3" s="28" t="s">
        <v>121</v>
      </c>
      <c r="B3" s="9">
        <v>1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1</v>
      </c>
      <c r="AL3" s="9">
        <v>1</v>
      </c>
      <c r="AM3" s="9">
        <v>1</v>
      </c>
      <c r="AN3" s="9">
        <v>1</v>
      </c>
      <c r="AO3" s="9">
        <v>1</v>
      </c>
      <c r="AP3" s="9">
        <v>1</v>
      </c>
      <c r="AQ3" s="9">
        <v>1</v>
      </c>
      <c r="AR3" s="9">
        <v>1</v>
      </c>
      <c r="AS3" s="9">
        <v>1</v>
      </c>
      <c r="AT3" s="9">
        <v>1</v>
      </c>
      <c r="AU3" s="9">
        <v>1</v>
      </c>
      <c r="AV3" s="9">
        <v>1</v>
      </c>
      <c r="AW3" s="9">
        <v>1</v>
      </c>
      <c r="AX3" s="9">
        <v>1</v>
      </c>
      <c r="AY3" s="9">
        <v>1</v>
      </c>
      <c r="AZ3" s="9">
        <v>1</v>
      </c>
      <c r="BA3" s="9">
        <v>1</v>
      </c>
    </row>
    <row r="4" spans="1:56" s="8" customFormat="1" x14ac:dyDescent="0.3">
      <c r="A4" s="28" t="s">
        <v>122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</row>
    <row r="5" spans="1:56" s="8" customFormat="1" x14ac:dyDescent="0.3">
      <c r="A5" s="28" t="s">
        <v>123</v>
      </c>
      <c r="B5" s="9">
        <v>1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1</v>
      </c>
      <c r="AE5" s="9">
        <v>1</v>
      </c>
      <c r="AF5" s="9">
        <v>1</v>
      </c>
      <c r="AG5" s="9">
        <v>1</v>
      </c>
      <c r="AH5" s="9">
        <v>1</v>
      </c>
      <c r="AI5" s="9">
        <v>1</v>
      </c>
      <c r="AJ5" s="9">
        <v>1</v>
      </c>
      <c r="AK5" s="9">
        <v>1</v>
      </c>
      <c r="AL5" s="9">
        <v>1</v>
      </c>
      <c r="AM5" s="9">
        <v>1</v>
      </c>
      <c r="AN5" s="9">
        <v>1</v>
      </c>
      <c r="AO5" s="9">
        <v>1</v>
      </c>
      <c r="AP5" s="9">
        <v>1</v>
      </c>
      <c r="AQ5" s="9">
        <v>1</v>
      </c>
      <c r="AR5" s="9">
        <v>1</v>
      </c>
      <c r="AS5" s="9">
        <v>1</v>
      </c>
      <c r="AT5" s="9">
        <v>1</v>
      </c>
      <c r="AU5" s="9">
        <v>1</v>
      </c>
      <c r="AV5" s="9">
        <v>1</v>
      </c>
      <c r="AW5" s="9">
        <v>1</v>
      </c>
      <c r="AX5" s="9">
        <v>1</v>
      </c>
      <c r="AY5" s="9">
        <v>1</v>
      </c>
      <c r="AZ5" s="9">
        <v>1</v>
      </c>
      <c r="BA5" s="9">
        <v>1</v>
      </c>
    </row>
    <row r="6" spans="1:56" s="8" customFormat="1" x14ac:dyDescent="0.3">
      <c r="A6" s="28" t="s">
        <v>124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1</v>
      </c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9">
        <v>1</v>
      </c>
      <c r="AR6" s="9">
        <v>1</v>
      </c>
      <c r="AS6" s="9">
        <v>1</v>
      </c>
      <c r="AT6" s="9">
        <v>1</v>
      </c>
      <c r="AU6" s="9">
        <v>1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D6" s="82"/>
    </row>
    <row r="7" spans="1:56" ht="16.2" thickBot="1" x14ac:dyDescent="0.35">
      <c r="A7" s="29" t="s">
        <v>125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8"/>
      <c r="BD7" s="81"/>
    </row>
    <row r="11" spans="1:56" x14ac:dyDescent="0.3">
      <c r="B11" s="50"/>
    </row>
    <row r="12" spans="1:56" x14ac:dyDescent="0.3">
      <c r="D12" s="1" t="s">
        <v>276</v>
      </c>
      <c r="F12" s="12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A13-6613-4A4D-92BC-DD0B79B273AD}">
  <sheetPr>
    <tabColor theme="5" tint="0.79998168889431442"/>
  </sheetPr>
  <dimension ref="A1:B7"/>
  <sheetViews>
    <sheetView tabSelected="1" zoomScaleNormal="100" workbookViewId="0">
      <selection activeCell="B8" sqref="B8"/>
    </sheetView>
  </sheetViews>
  <sheetFormatPr defaultColWidth="9.33203125" defaultRowHeight="15.6" x14ac:dyDescent="0.3"/>
  <cols>
    <col min="1" max="1" width="11.88671875" style="1" customWidth="1"/>
    <col min="2" max="16384" width="9.33203125" style="1"/>
  </cols>
  <sheetData>
    <row r="1" spans="1:2" ht="16.2" thickBot="1" x14ac:dyDescent="0.35">
      <c r="A1" s="1" t="str">
        <f>_xlfn.CONCAT( "Table of Disposal Operational Cost [",VLOOKUP("currency", Units!$A$2:$B$11, 2, FALSE),"/", VLOOKUP("volume", Units!$A$2:$B$11, 2, FALSE),"]")</f>
        <v>Table of Disposal Operational Cost [USD/bbl]</v>
      </c>
    </row>
    <row r="2" spans="1:2" s="8" customFormat="1" x14ac:dyDescent="0.3">
      <c r="A2" s="6" t="s">
        <v>257</v>
      </c>
      <c r="B2" s="27" t="s">
        <v>44</v>
      </c>
    </row>
    <row r="3" spans="1:2" s="8" customFormat="1" x14ac:dyDescent="0.3">
      <c r="A3" s="28" t="s">
        <v>121</v>
      </c>
      <c r="B3" s="31">
        <v>0.25</v>
      </c>
    </row>
    <row r="4" spans="1:2" s="8" customFormat="1" x14ac:dyDescent="0.3">
      <c r="A4" s="28" t="s">
        <v>122</v>
      </c>
      <c r="B4" s="31">
        <v>0.25</v>
      </c>
    </row>
    <row r="5" spans="1:2" s="8" customFormat="1" x14ac:dyDescent="0.3">
      <c r="A5" s="28" t="s">
        <v>123</v>
      </c>
      <c r="B5" s="31">
        <v>0.25</v>
      </c>
    </row>
    <row r="6" spans="1:2" s="8" customFormat="1" x14ac:dyDescent="0.3">
      <c r="A6" s="28" t="s">
        <v>124</v>
      </c>
      <c r="B6" s="31">
        <v>0.25</v>
      </c>
    </row>
    <row r="7" spans="1:2" ht="16.2" thickBot="1" x14ac:dyDescent="0.35">
      <c r="A7" s="29" t="s">
        <v>125</v>
      </c>
      <c r="B7" s="31">
        <v>0.25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C77-5C7B-4C97-8F2B-C60EA6AF1AED}">
  <sheetPr>
    <tabColor theme="5" tint="0.79998168889431442"/>
  </sheetPr>
  <dimension ref="A1:C22"/>
  <sheetViews>
    <sheetView workbookViewId="0">
      <selection activeCell="E19" sqref="E19"/>
    </sheetView>
  </sheetViews>
  <sheetFormatPr defaultColWidth="9.33203125" defaultRowHeight="15.6" x14ac:dyDescent="0.3"/>
  <cols>
    <col min="1" max="1" width="15.5546875" style="1" customWidth="1"/>
    <col min="2" max="2" width="23.5546875" style="1" bestFit="1" customWidth="1"/>
    <col min="3" max="16384" width="9.33203125" style="1"/>
  </cols>
  <sheetData>
    <row r="1" spans="1:3" ht="16.2" thickBot="1" x14ac:dyDescent="0.35">
      <c r="A1" s="1" t="str">
        <f>_xlfn.CONCAT( "Table of Treatment Operational Cost [",VLOOKUP("currency", Units!$A$2:$B$11, 2, FALSE),"/", VLOOKUP("volume", Units!$A$2:$B$11, 2, FALSE),"]")</f>
        <v>Table of Treatment Operational Cost [USD/bbl]</v>
      </c>
    </row>
    <row r="2" spans="1:3" s="8" customFormat="1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0.1</v>
      </c>
    </row>
    <row r="4" spans="1:3" x14ac:dyDescent="0.3">
      <c r="A4" s="28" t="s">
        <v>134</v>
      </c>
      <c r="B4" s="104" t="s">
        <v>137</v>
      </c>
      <c r="C4" s="31">
        <v>0.1</v>
      </c>
    </row>
    <row r="5" spans="1:3" x14ac:dyDescent="0.3">
      <c r="A5" s="28" t="s">
        <v>135</v>
      </c>
      <c r="B5" s="104" t="s">
        <v>137</v>
      </c>
      <c r="C5" s="31">
        <v>0.1</v>
      </c>
    </row>
    <row r="6" spans="1:3" x14ac:dyDescent="0.3">
      <c r="A6" s="28" t="s">
        <v>136</v>
      </c>
      <c r="B6" s="104" t="s">
        <v>137</v>
      </c>
      <c r="C6" s="31">
        <v>0.1</v>
      </c>
    </row>
    <row r="7" spans="1:3" x14ac:dyDescent="0.3">
      <c r="A7" s="28" t="s">
        <v>133</v>
      </c>
      <c r="B7" s="104" t="s">
        <v>138</v>
      </c>
      <c r="C7" s="31">
        <v>0.2</v>
      </c>
    </row>
    <row r="8" spans="1:3" x14ac:dyDescent="0.3">
      <c r="A8" s="28" t="s">
        <v>134</v>
      </c>
      <c r="B8" s="104" t="s">
        <v>138</v>
      </c>
      <c r="C8" s="31">
        <v>0.2</v>
      </c>
    </row>
    <row r="9" spans="1:3" x14ac:dyDescent="0.3">
      <c r="A9" s="28" t="s">
        <v>135</v>
      </c>
      <c r="B9" s="104" t="s">
        <v>138</v>
      </c>
      <c r="C9" s="31">
        <v>0.2</v>
      </c>
    </row>
    <row r="10" spans="1:3" x14ac:dyDescent="0.3">
      <c r="A10" s="28" t="s">
        <v>136</v>
      </c>
      <c r="B10" s="104" t="s">
        <v>138</v>
      </c>
      <c r="C10" s="31">
        <v>0.2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89" t="s">
        <v>136</v>
      </c>
      <c r="B14" s="89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1</v>
      </c>
    </row>
    <row r="16" spans="1:3" x14ac:dyDescent="0.3">
      <c r="A16" s="28" t="s">
        <v>134</v>
      </c>
      <c r="B16" s="104" t="s">
        <v>347</v>
      </c>
      <c r="C16" s="31">
        <v>1</v>
      </c>
    </row>
    <row r="17" spans="1:3" x14ac:dyDescent="0.3">
      <c r="A17" s="28" t="s">
        <v>135</v>
      </c>
      <c r="B17" s="104" t="s">
        <v>347</v>
      </c>
      <c r="C17" s="31">
        <v>1</v>
      </c>
    </row>
    <row r="18" spans="1:3" x14ac:dyDescent="0.3">
      <c r="A18" s="28" t="s">
        <v>136</v>
      </c>
      <c r="B18" s="104" t="s">
        <v>347</v>
      </c>
      <c r="C18" s="31">
        <v>1</v>
      </c>
    </row>
    <row r="19" spans="1:3" x14ac:dyDescent="0.3">
      <c r="A19" s="28" t="s">
        <v>133</v>
      </c>
      <c r="B19" s="104" t="s">
        <v>348</v>
      </c>
      <c r="C19" s="31">
        <v>0.7</v>
      </c>
    </row>
    <row r="20" spans="1:3" x14ac:dyDescent="0.3">
      <c r="A20" s="145" t="s">
        <v>134</v>
      </c>
      <c r="B20" s="104" t="s">
        <v>348</v>
      </c>
      <c r="C20" s="31">
        <v>0.7</v>
      </c>
    </row>
    <row r="21" spans="1:3" x14ac:dyDescent="0.3">
      <c r="A21" s="28" t="s">
        <v>135</v>
      </c>
      <c r="B21" s="104" t="s">
        <v>348</v>
      </c>
      <c r="C21" s="31">
        <v>0.7</v>
      </c>
    </row>
    <row r="22" spans="1:3" ht="16.2" thickBot="1" x14ac:dyDescent="0.35">
      <c r="A22" s="29" t="s">
        <v>136</v>
      </c>
      <c r="B22" s="113" t="s">
        <v>348</v>
      </c>
      <c r="C22" s="11">
        <v>0.7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225-B5AF-4E75-9547-7AC1A8034351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7.33203125" style="1" customWidth="1"/>
    <col min="2" max="16384" width="9.33203125" style="1"/>
  </cols>
  <sheetData>
    <row r="1" spans="1:2" ht="16.2" thickBot="1" x14ac:dyDescent="0.35">
      <c r="A1" s="1" t="str">
        <f>_xlfn.CONCAT( "Table of Reuse Operational Cost [",VLOOKUP("currency", Units!$A$2:$B$11, 2, FALSE),"/", VLOOKUP("volume", Units!$A$2:$B$11, 2, FALSE),"]")</f>
        <v>Table of Reuse Operational Cost [USD/bbl]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1">
        <v>0</v>
      </c>
    </row>
    <row r="4" spans="1:2" s="8" customFormat="1" x14ac:dyDescent="0.3">
      <c r="A4" s="28" t="s">
        <v>118</v>
      </c>
      <c r="B4" s="31">
        <v>0</v>
      </c>
    </row>
    <row r="5" spans="1:2" s="8" customFormat="1" ht="16.2" thickBot="1" x14ac:dyDescent="0.35">
      <c r="A5" s="29" t="s">
        <v>119</v>
      </c>
      <c r="B5" s="11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AD9-42B2-417F-BF2D-D0F067DA599C}">
  <sheetPr>
    <tabColor theme="5" tint="0.79998168889431442"/>
  </sheetPr>
  <dimension ref="A1:AR56"/>
  <sheetViews>
    <sheetView zoomScale="70" zoomScaleNormal="70"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6" width="10.109375" style="1" bestFit="1" customWidth="1"/>
    <col min="7" max="16384" width="9.33203125" style="1"/>
  </cols>
  <sheetData>
    <row r="1" spans="1:44" ht="16.2" thickBot="1" x14ac:dyDescent="0.35">
      <c r="A1" s="1" t="str">
        <f>_xlfn.CONCAT( "Table of Pipeline Operational Cost between Sites [",VLOOKUP("currency", Units!$A$2:$B$11, 2, FALSE),"/", VLOOKUP("volume", Units!$A$2:$B$11, 2, FALSE),"]")</f>
        <v>Table of Pipeline Operational Cost between Sites [USD/bbl]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58" t="s">
        <v>87</v>
      </c>
      <c r="B3" s="93">
        <v>1E-4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2"/>
      <c r="AE3" s="93"/>
      <c r="AF3" s="93"/>
      <c r="AG3" s="93"/>
      <c r="AH3" s="94"/>
      <c r="AI3" s="93"/>
      <c r="AJ3" s="93"/>
      <c r="AK3" s="93"/>
      <c r="AL3" s="93"/>
      <c r="AM3" s="92"/>
      <c r="AN3" s="93"/>
      <c r="AO3" s="94"/>
      <c r="AP3" s="93"/>
      <c r="AQ3" s="93"/>
      <c r="AR3" s="101"/>
    </row>
    <row r="4" spans="1:44" x14ac:dyDescent="0.3">
      <c r="A4" s="28" t="s">
        <v>88</v>
      </c>
      <c r="B4" s="9"/>
      <c r="C4" s="9"/>
      <c r="D4" s="9"/>
      <c r="E4" s="9"/>
      <c r="F4" s="9">
        <v>1E-4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5"/>
      <c r="AE4" s="9"/>
      <c r="AF4" s="9"/>
      <c r="AG4" s="9"/>
      <c r="AH4" s="96"/>
      <c r="AI4" s="9"/>
      <c r="AJ4" s="9"/>
      <c r="AK4" s="9"/>
      <c r="AL4" s="9"/>
      <c r="AM4" s="95"/>
      <c r="AN4" s="9"/>
      <c r="AO4" s="96"/>
      <c r="AP4" s="9"/>
      <c r="AQ4" s="9"/>
      <c r="AR4" s="31"/>
    </row>
    <row r="5" spans="1:44" x14ac:dyDescent="0.3">
      <c r="A5" s="28" t="s">
        <v>89</v>
      </c>
      <c r="B5" s="9"/>
      <c r="C5" s="9"/>
      <c r="D5" s="9"/>
      <c r="E5" s="9"/>
      <c r="F5" s="9"/>
      <c r="G5" s="9">
        <v>1E-4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5"/>
      <c r="AE5" s="9"/>
      <c r="AF5" s="9"/>
      <c r="AG5" s="9"/>
      <c r="AH5" s="96"/>
      <c r="AI5" s="9"/>
      <c r="AJ5" s="9"/>
      <c r="AK5" s="9"/>
      <c r="AL5" s="9"/>
      <c r="AM5" s="95"/>
      <c r="AN5" s="9"/>
      <c r="AO5" s="96"/>
      <c r="AP5" s="9"/>
      <c r="AQ5" s="9"/>
      <c r="AR5" s="31"/>
    </row>
    <row r="6" spans="1:44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1E-4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5"/>
      <c r="AE6" s="9"/>
      <c r="AF6" s="9"/>
      <c r="AG6" s="9"/>
      <c r="AH6" s="96"/>
      <c r="AI6" s="9"/>
      <c r="AJ6" s="9"/>
      <c r="AK6" s="9"/>
      <c r="AL6" s="9"/>
      <c r="AM6" s="95"/>
      <c r="AN6" s="9"/>
      <c r="AO6" s="96"/>
      <c r="AP6" s="9"/>
      <c r="AQ6" s="9"/>
      <c r="AR6" s="31"/>
    </row>
    <row r="7" spans="1:44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1E-4</v>
      </c>
      <c r="L7" s="9"/>
      <c r="M7" s="9">
        <v>1E-4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5"/>
      <c r="AE7" s="9"/>
      <c r="AF7" s="9"/>
      <c r="AG7" s="9"/>
      <c r="AH7" s="96"/>
      <c r="AI7" s="9"/>
      <c r="AJ7" s="9"/>
      <c r="AK7" s="9"/>
      <c r="AL7" s="9"/>
      <c r="AM7" s="95"/>
      <c r="AN7" s="9"/>
      <c r="AO7" s="96"/>
      <c r="AP7" s="9"/>
      <c r="AQ7" s="9"/>
      <c r="AR7" s="31"/>
    </row>
    <row r="8" spans="1:44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1E-4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5"/>
      <c r="AE8" s="9"/>
      <c r="AF8" s="9"/>
      <c r="AG8" s="9"/>
      <c r="AH8" s="96"/>
      <c r="AI8" s="9"/>
      <c r="AJ8" s="9"/>
      <c r="AK8" s="9"/>
      <c r="AL8" s="9"/>
      <c r="AM8" s="95"/>
      <c r="AN8" s="9"/>
      <c r="AO8" s="96"/>
      <c r="AP8" s="9"/>
      <c r="AQ8" s="9"/>
      <c r="AR8" s="31"/>
    </row>
    <row r="9" spans="1:44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1E-4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5"/>
      <c r="AE9" s="9"/>
      <c r="AF9" s="9"/>
      <c r="AG9" s="9"/>
      <c r="AH9" s="96"/>
      <c r="AI9" s="9"/>
      <c r="AJ9" s="9"/>
      <c r="AK9" s="9"/>
      <c r="AL9" s="9"/>
      <c r="AM9" s="95"/>
      <c r="AN9" s="9"/>
      <c r="AO9" s="96"/>
      <c r="AP9" s="9"/>
      <c r="AQ9" s="9"/>
      <c r="AR9" s="31"/>
    </row>
    <row r="10" spans="1:44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1E-4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5"/>
      <c r="AE10" s="9"/>
      <c r="AF10" s="9"/>
      <c r="AG10" s="9"/>
      <c r="AH10" s="96"/>
      <c r="AI10" s="9"/>
      <c r="AJ10" s="9"/>
      <c r="AK10" s="9"/>
      <c r="AL10" s="9"/>
      <c r="AM10" s="95"/>
      <c r="AN10" s="9"/>
      <c r="AO10" s="96"/>
      <c r="AP10" s="9"/>
      <c r="AQ10" s="9"/>
      <c r="AR10" s="31"/>
    </row>
    <row r="11" spans="1:44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1E-4</v>
      </c>
      <c r="W11" s="9"/>
      <c r="X11" s="9"/>
      <c r="Y11" s="9"/>
      <c r="Z11" s="9"/>
      <c r="AA11" s="9"/>
      <c r="AB11" s="9"/>
      <c r="AC11" s="9"/>
      <c r="AD11" s="95"/>
      <c r="AE11" s="9"/>
      <c r="AF11" s="9"/>
      <c r="AG11" s="9"/>
      <c r="AH11" s="96"/>
      <c r="AI11" s="9"/>
      <c r="AJ11" s="9"/>
      <c r="AK11" s="9"/>
      <c r="AL11" s="9"/>
      <c r="AM11" s="95"/>
      <c r="AN11" s="9"/>
      <c r="AO11" s="96"/>
      <c r="AP11" s="9"/>
      <c r="AQ11" s="9"/>
      <c r="AR11" s="31"/>
    </row>
    <row r="12" spans="1:44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1E-4</v>
      </c>
      <c r="U12" s="9"/>
      <c r="V12" s="9"/>
      <c r="W12" s="9"/>
      <c r="X12" s="9"/>
      <c r="Y12" s="9"/>
      <c r="Z12" s="9"/>
      <c r="AA12" s="9"/>
      <c r="AB12" s="9"/>
      <c r="AC12" s="9"/>
      <c r="AD12" s="95"/>
      <c r="AE12" s="9"/>
      <c r="AF12" s="9"/>
      <c r="AG12" s="9"/>
      <c r="AH12" s="96"/>
      <c r="AI12" s="9"/>
      <c r="AJ12" s="9"/>
      <c r="AK12" s="9"/>
      <c r="AL12" s="9"/>
      <c r="AM12" s="95"/>
      <c r="AN12" s="9"/>
      <c r="AO12" s="96"/>
      <c r="AP12" s="9"/>
      <c r="AQ12" s="9"/>
      <c r="AR12" s="31"/>
    </row>
    <row r="13" spans="1:44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1E-4</v>
      </c>
      <c r="AA13" s="9"/>
      <c r="AB13" s="9"/>
      <c r="AC13" s="9"/>
      <c r="AD13" s="95"/>
      <c r="AE13" s="9"/>
      <c r="AF13" s="9"/>
      <c r="AG13" s="9"/>
      <c r="AH13" s="96"/>
      <c r="AI13" s="9"/>
      <c r="AJ13" s="9"/>
      <c r="AK13" s="9"/>
      <c r="AL13" s="9"/>
      <c r="AM13" s="95"/>
      <c r="AN13" s="9"/>
      <c r="AO13" s="96"/>
      <c r="AP13" s="9"/>
      <c r="AQ13" s="9"/>
      <c r="AR13" s="31"/>
    </row>
    <row r="14" spans="1:44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1E-4</v>
      </c>
      <c r="AC14" s="9"/>
      <c r="AD14" s="95"/>
      <c r="AE14" s="9"/>
      <c r="AF14" s="9"/>
      <c r="AG14" s="9"/>
      <c r="AH14" s="96"/>
      <c r="AI14" s="9"/>
      <c r="AJ14" s="9"/>
      <c r="AK14" s="9"/>
      <c r="AL14" s="9"/>
      <c r="AM14" s="95"/>
      <c r="AN14" s="9"/>
      <c r="AO14" s="96"/>
      <c r="AP14" s="9"/>
      <c r="AQ14" s="9"/>
      <c r="AR14" s="31"/>
    </row>
    <row r="15" spans="1:44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1E-4</v>
      </c>
      <c r="AC15" s="9"/>
      <c r="AD15" s="95"/>
      <c r="AE15" s="9"/>
      <c r="AF15" s="9"/>
      <c r="AG15" s="9"/>
      <c r="AH15" s="96"/>
      <c r="AI15" s="9"/>
      <c r="AJ15" s="9"/>
      <c r="AK15" s="9"/>
      <c r="AL15" s="9"/>
      <c r="AM15" s="95"/>
      <c r="AN15" s="9"/>
      <c r="AO15" s="96"/>
      <c r="AP15" s="9"/>
      <c r="AQ15" s="9"/>
      <c r="AR15" s="31"/>
    </row>
    <row r="16" spans="1:44" x14ac:dyDescent="0.3">
      <c r="A16" s="28" t="s">
        <v>100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>
        <v>1E-4</v>
      </c>
      <c r="AC16" s="9"/>
      <c r="AD16" s="95"/>
      <c r="AE16" s="9"/>
      <c r="AF16" s="9"/>
      <c r="AG16" s="9"/>
      <c r="AH16" s="96"/>
      <c r="AI16" s="9"/>
      <c r="AJ16" s="9"/>
      <c r="AK16" s="9"/>
      <c r="AL16" s="9"/>
      <c r="AM16" s="95"/>
      <c r="AN16" s="9"/>
      <c r="AO16" s="96"/>
      <c r="AP16" s="9"/>
      <c r="AQ16" s="9"/>
      <c r="AR16" s="31"/>
    </row>
    <row r="17" spans="1:44" x14ac:dyDescent="0.3">
      <c r="A17" s="58" t="s">
        <v>117</v>
      </c>
      <c r="B17" s="93"/>
      <c r="C17" s="93"/>
      <c r="D17" s="93"/>
      <c r="E17" s="93"/>
      <c r="F17" s="93"/>
      <c r="G17" s="93"/>
      <c r="H17" s="93"/>
      <c r="I17" s="93">
        <v>1E-4</v>
      </c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2"/>
      <c r="AE17" s="93"/>
      <c r="AF17" s="93"/>
      <c r="AG17" s="93"/>
      <c r="AH17" s="94"/>
      <c r="AI17" s="93"/>
      <c r="AJ17" s="93"/>
      <c r="AK17" s="93"/>
      <c r="AL17" s="93"/>
      <c r="AM17" s="92"/>
      <c r="AN17" s="93"/>
      <c r="AO17" s="94"/>
      <c r="AP17" s="93"/>
      <c r="AQ17" s="93"/>
      <c r="AR17" s="101"/>
    </row>
    <row r="18" spans="1:44" x14ac:dyDescent="0.3">
      <c r="A18" s="28" t="s">
        <v>118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1E-4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5"/>
      <c r="AE18" s="9"/>
      <c r="AF18" s="9"/>
      <c r="AG18" s="9"/>
      <c r="AH18" s="96"/>
      <c r="AI18" s="9"/>
      <c r="AJ18" s="9"/>
      <c r="AK18" s="9"/>
      <c r="AL18" s="9"/>
      <c r="AM18" s="95"/>
      <c r="AN18" s="9"/>
      <c r="AO18" s="96"/>
      <c r="AP18" s="9"/>
      <c r="AQ18" s="9"/>
      <c r="AR18" s="31"/>
    </row>
    <row r="19" spans="1:44" x14ac:dyDescent="0.3">
      <c r="A19" s="83" t="s">
        <v>119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7"/>
      <c r="AE19" s="98"/>
      <c r="AF19" s="98"/>
      <c r="AG19" s="98"/>
      <c r="AH19" s="99"/>
      <c r="AI19" s="98"/>
      <c r="AJ19" s="98"/>
      <c r="AK19" s="98"/>
      <c r="AL19" s="98"/>
      <c r="AM19" s="97"/>
      <c r="AN19" s="98"/>
      <c r="AO19" s="99"/>
      <c r="AP19" s="98"/>
      <c r="AQ19" s="98"/>
      <c r="AR19" s="102"/>
    </row>
    <row r="20" spans="1:44" x14ac:dyDescent="0.3">
      <c r="A20" s="28" t="s">
        <v>141</v>
      </c>
      <c r="B20" s="9"/>
      <c r="C20" s="9">
        <v>1E-4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5">
        <v>1E-4</v>
      </c>
      <c r="AE20" s="9"/>
      <c r="AF20" s="9"/>
      <c r="AG20" s="9"/>
      <c r="AH20" s="96"/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9">
        <v>1E-4</v>
      </c>
      <c r="C21" s="9"/>
      <c r="D21" s="9">
        <v>1E-4</v>
      </c>
      <c r="E21" s="9"/>
      <c r="F21" s="9">
        <v>1E-4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5"/>
      <c r="AE21" s="9"/>
      <c r="AF21" s="9"/>
      <c r="AG21" s="9"/>
      <c r="AH21" s="96"/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/>
      <c r="C22" s="9">
        <v>1E-4</v>
      </c>
      <c r="D22" s="9"/>
      <c r="E22" s="9">
        <v>1E-4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5"/>
      <c r="AE22" s="9"/>
      <c r="AF22" s="9"/>
      <c r="AG22" s="9"/>
      <c r="AH22" s="96"/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/>
      <c r="C23" s="9"/>
      <c r="D23" s="9">
        <v>1E-4</v>
      </c>
      <c r="E23" s="9"/>
      <c r="F23" s="9"/>
      <c r="G23" s="9">
        <v>1E-4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5"/>
      <c r="AE23" s="9">
        <v>1E-4</v>
      </c>
      <c r="AF23" s="9"/>
      <c r="AG23" s="9"/>
      <c r="AH23" s="96"/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/>
      <c r="C24" s="9">
        <v>1E-4</v>
      </c>
      <c r="D24" s="9"/>
      <c r="E24" s="9"/>
      <c r="F24" s="9"/>
      <c r="G24" s="9"/>
      <c r="H24" s="9"/>
      <c r="I24" s="9">
        <v>1E-4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5"/>
      <c r="AE24" s="9"/>
      <c r="AF24" s="9"/>
      <c r="AG24" s="9"/>
      <c r="AH24" s="96"/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/>
      <c r="C25" s="9"/>
      <c r="D25" s="9"/>
      <c r="E25" s="9">
        <v>1E-4</v>
      </c>
      <c r="F25" s="9"/>
      <c r="G25" s="9"/>
      <c r="H25" s="9">
        <v>1E-4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5"/>
      <c r="AE25" s="9"/>
      <c r="AF25" s="9"/>
      <c r="AG25" s="9"/>
      <c r="AH25" s="96"/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/>
      <c r="C26" s="9"/>
      <c r="D26" s="9"/>
      <c r="E26" s="9"/>
      <c r="F26" s="9"/>
      <c r="G26" s="9">
        <v>1E-4</v>
      </c>
      <c r="H26" s="9"/>
      <c r="I26" s="9">
        <v>1E-4</v>
      </c>
      <c r="J26" s="9">
        <v>1E-4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5"/>
      <c r="AE26" s="9"/>
      <c r="AF26" s="9"/>
      <c r="AG26" s="9"/>
      <c r="AH26" s="96"/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/>
      <c r="C27" s="9"/>
      <c r="D27" s="9"/>
      <c r="E27" s="9"/>
      <c r="F27" s="9">
        <v>1E-4</v>
      </c>
      <c r="G27" s="9"/>
      <c r="H27" s="9">
        <v>1E-4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5"/>
      <c r="AE27" s="9"/>
      <c r="AF27" s="9"/>
      <c r="AG27" s="9"/>
      <c r="AH27" s="96"/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/>
      <c r="C28" s="9"/>
      <c r="D28" s="9"/>
      <c r="E28" s="9"/>
      <c r="F28" s="9"/>
      <c r="G28" s="9"/>
      <c r="H28" s="9">
        <v>1E-4</v>
      </c>
      <c r="I28" s="9"/>
      <c r="J28" s="9"/>
      <c r="K28" s="9">
        <v>1E-4</v>
      </c>
      <c r="L28" s="9">
        <v>1E-4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5"/>
      <c r="AE28" s="9"/>
      <c r="AF28" s="9"/>
      <c r="AG28" s="9"/>
      <c r="AH28" s="96"/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/>
      <c r="C29" s="9"/>
      <c r="D29" s="9"/>
      <c r="E29" s="9"/>
      <c r="F29" s="9"/>
      <c r="G29" s="9"/>
      <c r="H29" s="9"/>
      <c r="I29" s="9"/>
      <c r="J29" s="9">
        <v>1E-4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5"/>
      <c r="AE29" s="9"/>
      <c r="AF29" s="9"/>
      <c r="AG29" s="9"/>
      <c r="AH29" s="96"/>
      <c r="AI29" s="9">
        <v>1E-4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/>
      <c r="C30" s="9"/>
      <c r="D30" s="9"/>
      <c r="E30" s="9"/>
      <c r="F30" s="9"/>
      <c r="G30" s="9"/>
      <c r="H30" s="9"/>
      <c r="I30" s="9"/>
      <c r="J30" s="9">
        <v>1E-4</v>
      </c>
      <c r="K30" s="9"/>
      <c r="L30" s="9"/>
      <c r="M30" s="9"/>
      <c r="N30" s="9">
        <v>1E-4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5"/>
      <c r="AE30" s="9"/>
      <c r="AF30" s="9"/>
      <c r="AG30" s="9"/>
      <c r="AH30" s="96"/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1E-4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5"/>
      <c r="AE31" s="9"/>
      <c r="AF31" s="9"/>
      <c r="AG31" s="9"/>
      <c r="AH31" s="96"/>
      <c r="AI31" s="9"/>
      <c r="AJ31" s="9">
        <v>1E-4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>
        <v>1E-4</v>
      </c>
      <c r="M32" s="9"/>
      <c r="N32" s="9"/>
      <c r="O32" s="9">
        <v>1E-4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5"/>
      <c r="AE32" s="9"/>
      <c r="AF32" s="9">
        <v>1E-4</v>
      </c>
      <c r="AG32" s="9"/>
      <c r="AH32" s="96"/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>
        <v>1E-4</v>
      </c>
      <c r="N33" s="9">
        <v>1E-4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>
        <v>1E-4</v>
      </c>
      <c r="AD33" s="95"/>
      <c r="AE33" s="9"/>
      <c r="AF33" s="9"/>
      <c r="AG33" s="9"/>
      <c r="AH33" s="96"/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v>1E-4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>
        <v>1E-4</v>
      </c>
      <c r="AD34" s="95"/>
      <c r="AE34" s="9"/>
      <c r="AF34" s="9"/>
      <c r="AG34" s="9"/>
      <c r="AH34" s="96"/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>
        <v>1E-4</v>
      </c>
      <c r="Q35" s="9"/>
      <c r="R35" s="9">
        <v>1E-4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5"/>
      <c r="AE35" s="9"/>
      <c r="AF35" s="9"/>
      <c r="AG35" s="9"/>
      <c r="AH35" s="96"/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1E-4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5"/>
      <c r="AE36" s="9"/>
      <c r="AF36" s="9"/>
      <c r="AG36" s="9">
        <v>1E-4</v>
      </c>
      <c r="AH36" s="96"/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>
        <v>1E-4</v>
      </c>
      <c r="U37" s="9"/>
      <c r="V37" s="9"/>
      <c r="W37" s="9"/>
      <c r="X37" s="9"/>
      <c r="Y37" s="9"/>
      <c r="Z37" s="9"/>
      <c r="AA37" s="9"/>
      <c r="AB37" s="9"/>
      <c r="AC37" s="9"/>
      <c r="AD37" s="95"/>
      <c r="AE37" s="9"/>
      <c r="AF37" s="9"/>
      <c r="AG37" s="9">
        <v>1E-4</v>
      </c>
      <c r="AH37" s="96"/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>
        <v>1E-4</v>
      </c>
      <c r="T38" s="9"/>
      <c r="U38" s="9"/>
      <c r="V38" s="9"/>
      <c r="W38" s="9">
        <v>1E-4</v>
      </c>
      <c r="X38" s="9"/>
      <c r="Y38" s="9"/>
      <c r="Z38" s="9"/>
      <c r="AA38" s="9"/>
      <c r="AB38" s="9"/>
      <c r="AC38" s="9"/>
      <c r="AD38" s="95"/>
      <c r="AE38" s="9"/>
      <c r="AF38" s="9"/>
      <c r="AG38" s="9"/>
      <c r="AH38" s="96"/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>
        <v>1E-4</v>
      </c>
      <c r="W39" s="9"/>
      <c r="X39" s="9"/>
      <c r="Y39" s="9"/>
      <c r="Z39" s="9"/>
      <c r="AA39" s="9"/>
      <c r="AB39" s="9"/>
      <c r="AC39" s="9">
        <v>1E-4</v>
      </c>
      <c r="AD39" s="95"/>
      <c r="AE39" s="9"/>
      <c r="AF39" s="9"/>
      <c r="AG39" s="9"/>
      <c r="AH39" s="96"/>
      <c r="AI39" s="9"/>
      <c r="AJ39" s="9"/>
      <c r="AK39" s="9">
        <v>1E-4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1E-4</v>
      </c>
      <c r="V40" s="9"/>
      <c r="W40" s="9">
        <v>1E-4</v>
      </c>
      <c r="X40" s="9"/>
      <c r="Y40" s="9"/>
      <c r="Z40" s="9"/>
      <c r="AA40" s="9"/>
      <c r="AB40" s="9"/>
      <c r="AC40" s="9"/>
      <c r="AD40" s="95"/>
      <c r="AE40" s="9"/>
      <c r="AF40" s="9"/>
      <c r="AG40" s="9"/>
      <c r="AH40" s="96"/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>
        <v>1E-4</v>
      </c>
      <c r="U41" s="9"/>
      <c r="V41" s="9">
        <v>1E-4</v>
      </c>
      <c r="W41" s="9"/>
      <c r="X41" s="9">
        <v>1E-4</v>
      </c>
      <c r="Y41" s="9"/>
      <c r="Z41" s="9"/>
      <c r="AA41" s="9"/>
      <c r="AB41" s="9"/>
      <c r="AC41" s="9"/>
      <c r="AD41" s="95"/>
      <c r="AE41" s="9"/>
      <c r="AF41" s="9">
        <v>1E-4</v>
      </c>
      <c r="AG41" s="9"/>
      <c r="AH41" s="96"/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1E-4</v>
      </c>
      <c r="X42" s="9"/>
      <c r="Y42" s="9">
        <v>1E-4</v>
      </c>
      <c r="Z42" s="9"/>
      <c r="AA42" s="9"/>
      <c r="AB42" s="9"/>
      <c r="AC42" s="9"/>
      <c r="AD42" s="95"/>
      <c r="AE42" s="9"/>
      <c r="AF42" s="9"/>
      <c r="AG42" s="9"/>
      <c r="AH42" s="96"/>
      <c r="AI42" s="9"/>
      <c r="AJ42" s="9"/>
      <c r="AK42" s="9"/>
      <c r="AL42" s="9">
        <v>1E-4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>
        <v>1E-4</v>
      </c>
      <c r="Y43" s="9"/>
      <c r="Z43" s="9">
        <v>1E-4</v>
      </c>
      <c r="AA43" s="9"/>
      <c r="AB43" s="9"/>
      <c r="AC43" s="9"/>
      <c r="AD43" s="95"/>
      <c r="AE43" s="9"/>
      <c r="AF43" s="9"/>
      <c r="AG43" s="9"/>
      <c r="AH43" s="96"/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1E-4</v>
      </c>
      <c r="Z44" s="9"/>
      <c r="AA44" s="9">
        <v>1E-4</v>
      </c>
      <c r="AB44" s="9"/>
      <c r="AC44" s="9"/>
      <c r="AD44" s="95"/>
      <c r="AE44" s="9"/>
      <c r="AF44" s="9"/>
      <c r="AG44" s="9"/>
      <c r="AH44" s="96"/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1E-4</v>
      </c>
      <c r="AA45" s="9"/>
      <c r="AB45" s="9">
        <v>1E-4</v>
      </c>
      <c r="AC45" s="9"/>
      <c r="AD45" s="95"/>
      <c r="AE45" s="9"/>
      <c r="AF45" s="9"/>
      <c r="AG45" s="9"/>
      <c r="AH45" s="96">
        <v>1E-4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1E-4</v>
      </c>
      <c r="AB46" s="9"/>
      <c r="AC46" s="9"/>
      <c r="AD46" s="95"/>
      <c r="AE46" s="9"/>
      <c r="AF46" s="9"/>
      <c r="AG46" s="9"/>
      <c r="AH46" s="96"/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>
        <v>1E-4</v>
      </c>
      <c r="P47" s="9">
        <v>1E-4</v>
      </c>
      <c r="Q47" s="9"/>
      <c r="R47" s="9"/>
      <c r="S47" s="9"/>
      <c r="T47" s="9"/>
      <c r="U47" s="9">
        <v>1E-4</v>
      </c>
      <c r="V47" s="9"/>
      <c r="W47" s="9"/>
      <c r="X47" s="9"/>
      <c r="Y47" s="9"/>
      <c r="Z47" s="9"/>
      <c r="AA47" s="9"/>
      <c r="AB47" s="9"/>
      <c r="AC47" s="9"/>
      <c r="AD47" s="95"/>
      <c r="AE47" s="9"/>
      <c r="AF47" s="9"/>
      <c r="AG47" s="9"/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1E-4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1E-4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7"/>
      <c r="AE50" s="98"/>
      <c r="AF50" s="98"/>
      <c r="AG50" s="98"/>
      <c r="AH50" s="99"/>
      <c r="AI50" s="98"/>
      <c r="AJ50" s="98"/>
      <c r="AK50" s="98"/>
      <c r="AL50" s="98"/>
      <c r="AM50" s="97"/>
      <c r="AN50" s="98"/>
      <c r="AO50" s="99"/>
      <c r="AP50" s="98"/>
      <c r="AQ50" s="98"/>
      <c r="AR50" s="102">
        <v>1E-4</v>
      </c>
    </row>
    <row r="51" spans="1:44" x14ac:dyDescent="0.3">
      <c r="A51" s="58" t="s">
        <v>126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2"/>
      <c r="AE51" s="93"/>
      <c r="AF51" s="93"/>
      <c r="AG51" s="93"/>
      <c r="AH51" s="94"/>
      <c r="AI51" s="93"/>
      <c r="AJ51" s="93"/>
      <c r="AK51" s="93"/>
      <c r="AL51" s="93"/>
      <c r="AM51" s="92"/>
      <c r="AN51" s="93"/>
      <c r="AO51" s="94"/>
      <c r="AP51" s="93">
        <v>1E-4</v>
      </c>
      <c r="AQ51" s="93">
        <v>1E-4</v>
      </c>
      <c r="AR51" s="101">
        <v>1E-4</v>
      </c>
    </row>
    <row r="52" spans="1:44" x14ac:dyDescent="0.3">
      <c r="A52" s="83" t="s">
        <v>127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7"/>
      <c r="AE52" s="98"/>
      <c r="AF52" s="98"/>
      <c r="AG52" s="98"/>
      <c r="AH52" s="99"/>
      <c r="AI52" s="98"/>
      <c r="AJ52" s="98"/>
      <c r="AK52" s="98"/>
      <c r="AL52" s="98"/>
      <c r="AM52" s="97"/>
      <c r="AN52" s="98"/>
      <c r="AO52" s="99"/>
      <c r="AP52" s="98">
        <v>1E-4</v>
      </c>
      <c r="AQ52" s="98">
        <v>1E-4</v>
      </c>
      <c r="AR52" s="102">
        <v>1E-4</v>
      </c>
    </row>
    <row r="53" spans="1:44" x14ac:dyDescent="0.3">
      <c r="A53" s="28" t="s">
        <v>133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5"/>
      <c r="AE53" s="9"/>
      <c r="AF53" s="9"/>
      <c r="AG53" s="9"/>
      <c r="AH53" s="96"/>
      <c r="AI53" s="9"/>
      <c r="AJ53" s="9"/>
      <c r="AK53" s="9"/>
      <c r="AL53" s="9"/>
      <c r="AM53" s="95">
        <v>1E-4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1E-4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1E-4</v>
      </c>
      <c r="AP56" s="10"/>
      <c r="AQ56" s="10"/>
      <c r="AR56" s="11"/>
    </row>
  </sheetData>
  <phoneticPr fontId="2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F2E-9304-4DC1-ABFA-7D5DAA6BA0BC}">
  <sheetPr>
    <tabColor theme="5" tint="0.79998168889431442"/>
  </sheetPr>
  <dimension ref="A1:B4"/>
  <sheetViews>
    <sheetView workbookViewId="0">
      <selection activeCell="A6" sqref="A6"/>
    </sheetView>
  </sheetViews>
  <sheetFormatPr defaultColWidth="9.33203125" defaultRowHeight="15.6" x14ac:dyDescent="0.3"/>
  <cols>
    <col min="1" max="1" width="25.33203125" style="1" customWidth="1"/>
    <col min="2" max="16384" width="9.33203125" style="1"/>
  </cols>
  <sheetData>
    <row r="1" spans="1:2" ht="16.2" thickBot="1" x14ac:dyDescent="0.35">
      <c r="A1" s="1" t="str">
        <f>_xlfn.CONCAT( "Table of External Water Souring Cost [",VLOOKUP("currency", Units!$A$2:$B$11, 2, FALSE),"/", VLOOKUP("volume", Units!$A$2:$B$11, 2, FALSE),"]")</f>
        <v>Table of External Water Souring Cost [USD/bbl]</v>
      </c>
    </row>
    <row r="2" spans="1:2" s="8" customFormat="1" x14ac:dyDescent="0.3">
      <c r="A2" s="6" t="s">
        <v>333</v>
      </c>
      <c r="B2" s="27" t="s">
        <v>44</v>
      </c>
    </row>
    <row r="3" spans="1:2" s="8" customFormat="1" x14ac:dyDescent="0.3">
      <c r="A3" s="28" t="s">
        <v>126</v>
      </c>
      <c r="B3" s="31">
        <v>1.5</v>
      </c>
    </row>
    <row r="4" spans="1:2" ht="16.2" thickBot="1" x14ac:dyDescent="0.35">
      <c r="A4" s="29" t="s">
        <v>127</v>
      </c>
      <c r="B4" s="11">
        <v>1.55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569-7889-4883-A327-3B12D4AB6358}">
  <sheetPr>
    <tabColor theme="5" tint="0.79998168889431442"/>
  </sheetPr>
  <dimension ref="A1:B21"/>
  <sheetViews>
    <sheetView workbookViewId="0">
      <selection activeCell="E15" sqref="E15"/>
    </sheetView>
  </sheetViews>
  <sheetFormatPr defaultColWidth="9.33203125" defaultRowHeight="15.6" x14ac:dyDescent="0.3"/>
  <cols>
    <col min="1" max="16384" width="9.33203125" style="1"/>
  </cols>
  <sheetData>
    <row r="1" spans="1:2" ht="16.2" thickBot="1" x14ac:dyDescent="0.35">
      <c r="A1" s="1" t="str">
        <f>_xlfn.CONCAT( "Table of Trucking Hourly Cost [",VLOOKUP("currency", Units!$A$2:$B$11, 2, FALSE),"/", "hour","]")</f>
        <v>Table of Trucking Hourly Cost [USD/hour]</v>
      </c>
    </row>
    <row r="2" spans="1:2" s="8" customFormat="1" x14ac:dyDescent="0.3">
      <c r="A2" s="6" t="s">
        <v>256</v>
      </c>
      <c r="B2" s="27" t="s">
        <v>44</v>
      </c>
    </row>
    <row r="3" spans="1:2" s="8" customFormat="1" x14ac:dyDescent="0.3">
      <c r="A3" s="28" t="s">
        <v>87</v>
      </c>
      <c r="B3" s="31">
        <v>95</v>
      </c>
    </row>
    <row r="4" spans="1:2" s="8" customFormat="1" x14ac:dyDescent="0.3">
      <c r="A4" s="28" t="s">
        <v>88</v>
      </c>
      <c r="B4" s="31">
        <v>93</v>
      </c>
    </row>
    <row r="5" spans="1:2" s="8" customFormat="1" x14ac:dyDescent="0.3">
      <c r="A5" s="28" t="s">
        <v>89</v>
      </c>
      <c r="B5" s="31">
        <v>97</v>
      </c>
    </row>
    <row r="6" spans="1:2" s="8" customFormat="1" x14ac:dyDescent="0.3">
      <c r="A6" s="28" t="s">
        <v>90</v>
      </c>
      <c r="B6" s="31">
        <v>94</v>
      </c>
    </row>
    <row r="7" spans="1:2" s="8" customFormat="1" x14ac:dyDescent="0.3">
      <c r="A7" s="28" t="s">
        <v>91</v>
      </c>
      <c r="B7" s="31">
        <v>96</v>
      </c>
    </row>
    <row r="8" spans="1:2" s="8" customFormat="1" x14ac:dyDescent="0.3">
      <c r="A8" s="28" t="s">
        <v>92</v>
      </c>
      <c r="B8" s="31">
        <v>98</v>
      </c>
    </row>
    <row r="9" spans="1:2" s="8" customFormat="1" x14ac:dyDescent="0.3">
      <c r="A9" s="28" t="s">
        <v>93</v>
      </c>
      <c r="B9" s="31">
        <v>99</v>
      </c>
    </row>
    <row r="10" spans="1:2" s="8" customFormat="1" x14ac:dyDescent="0.3">
      <c r="A10" s="28" t="s">
        <v>94</v>
      </c>
      <c r="B10" s="31">
        <v>97</v>
      </c>
    </row>
    <row r="11" spans="1:2" s="8" customFormat="1" x14ac:dyDescent="0.3">
      <c r="A11" s="28" t="s">
        <v>95</v>
      </c>
      <c r="B11" s="31">
        <v>101</v>
      </c>
    </row>
    <row r="12" spans="1:2" s="8" customFormat="1" x14ac:dyDescent="0.3">
      <c r="A12" s="28" t="s">
        <v>96</v>
      </c>
      <c r="B12" s="31">
        <v>103</v>
      </c>
    </row>
    <row r="13" spans="1:2" s="8" customFormat="1" x14ac:dyDescent="0.3">
      <c r="A13" s="28" t="s">
        <v>97</v>
      </c>
      <c r="B13" s="31">
        <v>100</v>
      </c>
    </row>
    <row r="14" spans="1:2" s="8" customFormat="1" x14ac:dyDescent="0.3">
      <c r="A14" s="28" t="s">
        <v>98</v>
      </c>
      <c r="B14" s="31">
        <v>99</v>
      </c>
    </row>
    <row r="15" spans="1:2" s="8" customFormat="1" x14ac:dyDescent="0.3">
      <c r="A15" s="28" t="s">
        <v>99</v>
      </c>
      <c r="B15" s="31">
        <v>95</v>
      </c>
    </row>
    <row r="16" spans="1:2" s="8" customFormat="1" x14ac:dyDescent="0.3">
      <c r="A16" s="83" t="s">
        <v>100</v>
      </c>
      <c r="B16" s="102">
        <v>105</v>
      </c>
    </row>
    <row r="17" spans="1:2" s="8" customFormat="1" x14ac:dyDescent="0.3">
      <c r="A17" s="28" t="s">
        <v>117</v>
      </c>
      <c r="B17" s="31">
        <v>90</v>
      </c>
    </row>
    <row r="18" spans="1:2" s="8" customFormat="1" x14ac:dyDescent="0.3">
      <c r="A18" s="28" t="s">
        <v>118</v>
      </c>
      <c r="B18" s="31">
        <v>100</v>
      </c>
    </row>
    <row r="19" spans="1:2" s="8" customFormat="1" x14ac:dyDescent="0.3">
      <c r="A19" s="83" t="s">
        <v>119</v>
      </c>
      <c r="B19" s="102">
        <v>110</v>
      </c>
    </row>
    <row r="20" spans="1:2" s="8" customFormat="1" x14ac:dyDescent="0.3">
      <c r="A20" s="28" t="s">
        <v>126</v>
      </c>
      <c r="B20" s="31">
        <v>110</v>
      </c>
    </row>
    <row r="21" spans="1:2" ht="16.2" thickBot="1" x14ac:dyDescent="0.35">
      <c r="A21" s="29" t="s">
        <v>127</v>
      </c>
      <c r="B21" s="11">
        <v>110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926-ED56-4D32-9A5B-F7129B221F36}">
  <sheetPr>
    <tabColor theme="5" tint="0.79998168889431442"/>
  </sheetPr>
  <dimension ref="A1:F19"/>
  <sheetViews>
    <sheetView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6" ht="16.2" thickBot="1" x14ac:dyDescent="0.35">
      <c r="A1" s="1" t="s">
        <v>258</v>
      </c>
    </row>
    <row r="2" spans="1:6" x14ac:dyDescent="0.3">
      <c r="A2" s="5" t="s">
        <v>256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" t="s">
        <v>87</v>
      </c>
      <c r="B3" s="9">
        <v>3</v>
      </c>
      <c r="C3" s="9">
        <v>3.5</v>
      </c>
      <c r="D3" s="9">
        <v>7.5</v>
      </c>
      <c r="E3" s="9">
        <v>12.5</v>
      </c>
      <c r="F3" s="31">
        <v>16</v>
      </c>
    </row>
    <row r="4" spans="1:6" x14ac:dyDescent="0.3">
      <c r="A4" s="2" t="s">
        <v>88</v>
      </c>
      <c r="B4" s="9">
        <v>2.5</v>
      </c>
      <c r="C4" s="9">
        <v>2</v>
      </c>
      <c r="D4" s="9">
        <v>5</v>
      </c>
      <c r="E4" s="9">
        <v>11</v>
      </c>
      <c r="F4" s="31">
        <v>15</v>
      </c>
    </row>
    <row r="5" spans="1:6" x14ac:dyDescent="0.3">
      <c r="A5" s="2" t="s">
        <v>89</v>
      </c>
      <c r="B5" s="9">
        <v>3</v>
      </c>
      <c r="C5" s="9">
        <v>0.5</v>
      </c>
      <c r="D5" s="9">
        <v>5</v>
      </c>
      <c r="E5" s="9">
        <v>6</v>
      </c>
      <c r="F5" s="31">
        <v>7</v>
      </c>
    </row>
    <row r="6" spans="1:6" x14ac:dyDescent="0.3">
      <c r="A6" s="2" t="s">
        <v>90</v>
      </c>
      <c r="B6" s="9">
        <v>3</v>
      </c>
      <c r="C6" s="9">
        <v>3.5</v>
      </c>
      <c r="D6" s="9">
        <v>7.5</v>
      </c>
      <c r="E6" s="9">
        <v>12.5</v>
      </c>
      <c r="F6" s="31">
        <v>16</v>
      </c>
    </row>
    <row r="7" spans="1:6" x14ac:dyDescent="0.3">
      <c r="A7" s="2" t="s">
        <v>91</v>
      </c>
      <c r="B7" s="9">
        <v>2.5</v>
      </c>
      <c r="C7" s="9">
        <v>2</v>
      </c>
      <c r="D7" s="9">
        <v>5</v>
      </c>
      <c r="E7" s="9">
        <v>11</v>
      </c>
      <c r="F7" s="31">
        <v>15</v>
      </c>
    </row>
    <row r="8" spans="1:6" x14ac:dyDescent="0.3">
      <c r="A8" s="2" t="s">
        <v>92</v>
      </c>
      <c r="B8" s="9">
        <v>3</v>
      </c>
      <c r="C8" s="9">
        <v>0.5</v>
      </c>
      <c r="D8" s="9">
        <v>5</v>
      </c>
      <c r="E8" s="9">
        <v>6</v>
      </c>
      <c r="F8" s="31">
        <v>7</v>
      </c>
    </row>
    <row r="9" spans="1:6" x14ac:dyDescent="0.3">
      <c r="A9" s="2" t="s">
        <v>93</v>
      </c>
      <c r="B9" s="9">
        <v>3</v>
      </c>
      <c r="C9" s="9">
        <v>3.5</v>
      </c>
      <c r="D9" s="9">
        <v>7.5</v>
      </c>
      <c r="E9" s="9">
        <v>12.5</v>
      </c>
      <c r="F9" s="31">
        <v>16</v>
      </c>
    </row>
    <row r="10" spans="1:6" x14ac:dyDescent="0.3">
      <c r="A10" s="2" t="s">
        <v>94</v>
      </c>
      <c r="B10" s="9">
        <v>2.5</v>
      </c>
      <c r="C10" s="9">
        <v>2</v>
      </c>
      <c r="D10" s="9">
        <v>5</v>
      </c>
      <c r="E10" s="9">
        <v>11</v>
      </c>
      <c r="F10" s="31">
        <v>15</v>
      </c>
    </row>
    <row r="11" spans="1:6" x14ac:dyDescent="0.3">
      <c r="A11" s="2" t="s">
        <v>95</v>
      </c>
      <c r="B11" s="9">
        <v>3</v>
      </c>
      <c r="C11" s="9">
        <v>0.5</v>
      </c>
      <c r="D11" s="9">
        <v>5</v>
      </c>
      <c r="E11" s="9">
        <v>6</v>
      </c>
      <c r="F11" s="31">
        <v>7</v>
      </c>
    </row>
    <row r="12" spans="1:6" x14ac:dyDescent="0.3">
      <c r="A12" s="2" t="s">
        <v>96</v>
      </c>
      <c r="B12" s="9">
        <v>3</v>
      </c>
      <c r="C12" s="9">
        <v>3.5</v>
      </c>
      <c r="D12" s="9">
        <v>7.5</v>
      </c>
      <c r="E12" s="9">
        <v>12.5</v>
      </c>
      <c r="F12" s="31">
        <v>16</v>
      </c>
    </row>
    <row r="13" spans="1:6" x14ac:dyDescent="0.3">
      <c r="A13" s="2" t="s">
        <v>97</v>
      </c>
      <c r="B13" s="9">
        <v>2.5</v>
      </c>
      <c r="C13" s="9">
        <v>2</v>
      </c>
      <c r="D13" s="9">
        <v>5</v>
      </c>
      <c r="E13" s="9">
        <v>11</v>
      </c>
      <c r="F13" s="31">
        <v>15</v>
      </c>
    </row>
    <row r="14" spans="1:6" x14ac:dyDescent="0.3">
      <c r="A14" s="2" t="s">
        <v>98</v>
      </c>
      <c r="B14" s="9">
        <v>3</v>
      </c>
      <c r="C14" s="9">
        <v>0.5</v>
      </c>
      <c r="D14" s="9">
        <v>5</v>
      </c>
      <c r="E14" s="9">
        <v>6</v>
      </c>
      <c r="F14" s="31">
        <v>7</v>
      </c>
    </row>
    <row r="15" spans="1:6" x14ac:dyDescent="0.3">
      <c r="A15" s="2" t="s">
        <v>99</v>
      </c>
      <c r="B15" s="9">
        <v>3</v>
      </c>
      <c r="C15" s="9">
        <v>3.5</v>
      </c>
      <c r="D15" s="9">
        <v>7.5</v>
      </c>
      <c r="E15" s="9">
        <v>12.5</v>
      </c>
      <c r="F15" s="31">
        <v>16</v>
      </c>
    </row>
    <row r="16" spans="1:6" x14ac:dyDescent="0.3">
      <c r="A16" s="114" t="s">
        <v>100</v>
      </c>
      <c r="B16" s="98">
        <v>2.5</v>
      </c>
      <c r="C16" s="98">
        <v>2</v>
      </c>
      <c r="D16" s="98">
        <v>5</v>
      </c>
      <c r="E16" s="98">
        <v>11</v>
      </c>
      <c r="F16" s="102">
        <v>15</v>
      </c>
    </row>
    <row r="17" spans="1:6" x14ac:dyDescent="0.3">
      <c r="A17" s="2" t="s">
        <v>117</v>
      </c>
      <c r="B17" s="9">
        <v>3</v>
      </c>
      <c r="C17" s="9">
        <v>1.5</v>
      </c>
      <c r="D17" s="9">
        <v>5</v>
      </c>
      <c r="E17" s="9">
        <v>6</v>
      </c>
      <c r="F17" s="31">
        <v>8</v>
      </c>
    </row>
    <row r="18" spans="1:6" x14ac:dyDescent="0.3">
      <c r="A18" s="2" t="s">
        <v>118</v>
      </c>
      <c r="B18" s="9">
        <v>3.5</v>
      </c>
      <c r="C18" s="9">
        <v>2</v>
      </c>
      <c r="D18" s="9">
        <v>4.5</v>
      </c>
      <c r="E18" s="9">
        <v>5</v>
      </c>
      <c r="F18" s="31">
        <v>7</v>
      </c>
    </row>
    <row r="19" spans="1:6" ht="16.2" thickBot="1" x14ac:dyDescent="0.35">
      <c r="A19" s="3" t="s">
        <v>119</v>
      </c>
      <c r="B19" s="10">
        <v>8</v>
      </c>
      <c r="C19" s="10">
        <v>6</v>
      </c>
      <c r="D19" s="10">
        <v>4</v>
      </c>
      <c r="E19" s="10">
        <v>2</v>
      </c>
      <c r="F19" s="11">
        <v>7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4B-C8DB-4A49-956D-761D45563331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2.6640625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Cost [",VLOOKUP("currency", Units!$A$2:$B$11, 2, FALSE),"/(", VLOOKUP("volume", Units!$A$2:$B$11, 2, FALSE),"/", VLOOKUP("time", Units!$A$2:$B$11, 2, FALSE),")]")</f>
        <v>Table of Disposal Capacity Expansion Cost [USD/(bbl/day)]</v>
      </c>
    </row>
    <row r="2" spans="1:3" s="8" customFormat="1" x14ac:dyDescent="0.3">
      <c r="A2" s="6" t="s">
        <v>257</v>
      </c>
      <c r="B2" s="7" t="s">
        <v>182</v>
      </c>
      <c r="C2" s="27" t="s">
        <v>183</v>
      </c>
    </row>
    <row r="3" spans="1:3" s="8" customFormat="1" x14ac:dyDescent="0.3">
      <c r="A3" s="28" t="s">
        <v>121</v>
      </c>
      <c r="B3" s="36">
        <v>20</v>
      </c>
      <c r="C3" s="47">
        <v>999</v>
      </c>
    </row>
    <row r="4" spans="1:3" s="8" customFormat="1" x14ac:dyDescent="0.3">
      <c r="A4" s="28" t="s">
        <v>122</v>
      </c>
      <c r="B4" s="36">
        <v>20</v>
      </c>
      <c r="C4" s="37">
        <v>999</v>
      </c>
    </row>
    <row r="5" spans="1:3" s="8" customFormat="1" x14ac:dyDescent="0.3">
      <c r="A5" s="28" t="s">
        <v>123</v>
      </c>
      <c r="B5" s="36">
        <v>20</v>
      </c>
      <c r="C5" s="37">
        <v>60</v>
      </c>
    </row>
    <row r="6" spans="1:3" s="8" customFormat="1" x14ac:dyDescent="0.3">
      <c r="A6" s="28" t="s">
        <v>124</v>
      </c>
      <c r="B6" s="36">
        <v>20</v>
      </c>
      <c r="C6" s="37">
        <v>99999</v>
      </c>
    </row>
    <row r="7" spans="1:3" ht="16.2" thickBot="1" x14ac:dyDescent="0.35">
      <c r="A7" s="29" t="s">
        <v>125</v>
      </c>
      <c r="B7" s="46">
        <v>20</v>
      </c>
      <c r="C7" s="39">
        <v>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88E-F277-4EB8-BD08-045871CAA4ED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9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Increments [",VLOOKUP("volume", Units!$A$2:$B$11, 2, FALSE),"/", VLOOKUP("time", Units!$A$2:$B$11, 2, FALSE),"]")</f>
        <v>Table of Disposal Capacity Expansion Increments [bbl/day]</v>
      </c>
    </row>
    <row r="2" spans="1:3" x14ac:dyDescent="0.3">
      <c r="A2" s="6" t="s">
        <v>257</v>
      </c>
      <c r="B2" s="7" t="s">
        <v>182</v>
      </c>
      <c r="C2" s="27" t="s">
        <v>183</v>
      </c>
    </row>
    <row r="3" spans="1:3" x14ac:dyDescent="0.3">
      <c r="A3" s="28" t="s">
        <v>121</v>
      </c>
      <c r="B3" s="36">
        <v>0</v>
      </c>
      <c r="C3" s="47">
        <v>7143</v>
      </c>
    </row>
    <row r="4" spans="1:3" x14ac:dyDescent="0.3">
      <c r="A4" s="28" t="s">
        <v>122</v>
      </c>
      <c r="B4" s="36">
        <v>0</v>
      </c>
      <c r="C4" s="37">
        <v>7143</v>
      </c>
    </row>
    <row r="5" spans="1:3" x14ac:dyDescent="0.3">
      <c r="A5" s="28" t="s">
        <v>123</v>
      </c>
      <c r="B5" s="36">
        <v>0</v>
      </c>
      <c r="C5" s="37">
        <v>7143</v>
      </c>
    </row>
    <row r="6" spans="1:3" x14ac:dyDescent="0.3">
      <c r="A6" s="28" t="s">
        <v>124</v>
      </c>
      <c r="B6" s="36">
        <v>0</v>
      </c>
      <c r="C6" s="37">
        <v>7143</v>
      </c>
    </row>
    <row r="7" spans="1:3" ht="16.2" thickBot="1" x14ac:dyDescent="0.35">
      <c r="A7" s="29" t="s">
        <v>125</v>
      </c>
      <c r="B7" s="46">
        <v>0</v>
      </c>
      <c r="C7" s="39">
        <v>7143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655-401B-435E-9F3E-B4AFCEDA07DB}">
  <sheetPr>
    <tabColor theme="5" tint="0.79998168889431442"/>
  </sheetPr>
  <dimension ref="A1:C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3" ht="16.2" thickBot="1" x14ac:dyDescent="0.35">
      <c r="A1" s="1" t="str">
        <f>_xlfn.CONCAT( "Table of Storage Capacity Expansion Cost [",VLOOKUP("currency", Units!$A$2:$B$11, 2, FALSE),"/", VLOOKUP("volume", Units!$A$2:$B$11, 2, FALSE),"]")</f>
        <v>Table of Storage Capacity Expansion Cost [USD/bbl]</v>
      </c>
    </row>
    <row r="2" spans="1:3" s="8" customFormat="1" x14ac:dyDescent="0.3">
      <c r="A2" s="6" t="s">
        <v>198</v>
      </c>
      <c r="B2" s="7" t="s">
        <v>174</v>
      </c>
      <c r="C2" s="27" t="s">
        <v>175</v>
      </c>
    </row>
    <row r="3" spans="1:3" x14ac:dyDescent="0.3">
      <c r="A3" s="28" t="s">
        <v>129</v>
      </c>
      <c r="B3" s="36">
        <v>2</v>
      </c>
      <c r="C3" s="47">
        <v>2.2999999999999998</v>
      </c>
    </row>
    <row r="4" spans="1:3" x14ac:dyDescent="0.3">
      <c r="A4" s="28" t="s">
        <v>130</v>
      </c>
      <c r="B4" s="36">
        <v>2</v>
      </c>
      <c r="C4" s="37">
        <v>2.2999999999999998</v>
      </c>
    </row>
    <row r="5" spans="1:3" ht="16.2" thickBot="1" x14ac:dyDescent="0.35">
      <c r="A5" s="29" t="s">
        <v>131</v>
      </c>
      <c r="B5" s="43">
        <v>2</v>
      </c>
      <c r="C5" s="44">
        <v>2.2999999999999998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6805-7F3D-4935-8D0C-80B2E9E9F409}">
  <sheetPr>
    <tabColor theme="5" tint="0.79998168889431442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8.33203125" style="1" customWidth="1"/>
    <col min="2" max="16384" width="9.33203125" style="1"/>
  </cols>
  <sheetData>
    <row r="1" spans="1:2" ht="16.2" thickBot="1" x14ac:dyDescent="0.35">
      <c r="A1" s="1" t="str">
        <f>_xlfn.CONCAT( "Table of Storage Capacity Expansion Increments [",VLOOKUP("volume", Units!$A$2:$B$11, 2, FALSE),"]")</f>
        <v>Table of Storage Capacity Expansion Increments [bbl]</v>
      </c>
    </row>
    <row r="2" spans="1:2" x14ac:dyDescent="0.3">
      <c r="A2" s="6" t="s">
        <v>261</v>
      </c>
      <c r="B2" s="27" t="s">
        <v>44</v>
      </c>
    </row>
    <row r="3" spans="1:2" x14ac:dyDescent="0.3">
      <c r="A3" s="28" t="s">
        <v>174</v>
      </c>
      <c r="B3" s="37">
        <v>0</v>
      </c>
    </row>
    <row r="4" spans="1:2" ht="16.2" thickBot="1" x14ac:dyDescent="0.35">
      <c r="A4" s="29" t="s">
        <v>175</v>
      </c>
      <c r="B4" s="39">
        <v>350000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944-A6F1-468B-A756-A99C077811C6}">
  <sheetPr>
    <tabColor theme="5" tint="0.79998168889431442"/>
  </sheetPr>
  <dimension ref="A1:F22"/>
  <sheetViews>
    <sheetView zoomScaleNormal="100" workbookViewId="0">
      <selection activeCell="B22" sqref="B22:F22"/>
    </sheetView>
  </sheetViews>
  <sheetFormatPr defaultColWidth="9.33203125" defaultRowHeight="15.6" x14ac:dyDescent="0.3"/>
  <cols>
    <col min="1" max="1" width="16.33203125" style="1" customWidth="1"/>
    <col min="2" max="2" width="23.5546875" style="1" bestFit="1" customWidth="1"/>
    <col min="3" max="16384" width="9.33203125" style="1"/>
  </cols>
  <sheetData>
    <row r="1" spans="1:6" ht="16.2" thickBot="1" x14ac:dyDescent="0.35">
      <c r="A1" s="1" t="str">
        <f>_xlfn.CONCAT( "Table of Treatment Capacity Expansion Cost [",VLOOKUP("currency", Units!$A$2:$B$11, 2, FALSE),"/(", VLOOKUP("volume", Units!$A$2:$B$11, 2, FALSE),"/", VLOOKUP("time", Units!$A$2:$B$11, 2, FALSE),")]")</f>
        <v>Table of Treatment Capacity Expansion Cost [USD/(bbl/day)]</v>
      </c>
    </row>
    <row r="2" spans="1:6" s="8" customFormat="1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x14ac:dyDescent="0.3">
      <c r="A3" s="28" t="s">
        <v>133</v>
      </c>
      <c r="B3" s="89" t="s">
        <v>137</v>
      </c>
      <c r="C3" s="36">
        <v>10</v>
      </c>
      <c r="D3" s="36">
        <v>10</v>
      </c>
      <c r="E3" s="36">
        <v>10</v>
      </c>
      <c r="F3" s="37">
        <v>10</v>
      </c>
    </row>
    <row r="4" spans="1:6" x14ac:dyDescent="0.3">
      <c r="A4" s="28" t="s">
        <v>134</v>
      </c>
      <c r="B4" s="89" t="s">
        <v>137</v>
      </c>
      <c r="C4" s="36">
        <v>10</v>
      </c>
      <c r="D4" s="36">
        <v>10</v>
      </c>
      <c r="E4" s="36">
        <v>10</v>
      </c>
      <c r="F4" s="37">
        <v>10</v>
      </c>
    </row>
    <row r="5" spans="1:6" x14ac:dyDescent="0.3">
      <c r="A5" s="28" t="s">
        <v>135</v>
      </c>
      <c r="B5" s="89" t="s">
        <v>137</v>
      </c>
      <c r="C5" s="36">
        <v>10</v>
      </c>
      <c r="D5" s="36">
        <v>10</v>
      </c>
      <c r="E5" s="36">
        <v>10</v>
      </c>
      <c r="F5" s="37">
        <v>10</v>
      </c>
    </row>
    <row r="6" spans="1:6" x14ac:dyDescent="0.3">
      <c r="A6" s="83" t="s">
        <v>136</v>
      </c>
      <c r="B6" s="115" t="s">
        <v>137</v>
      </c>
      <c r="C6" s="116">
        <v>10</v>
      </c>
      <c r="D6" s="116">
        <v>10</v>
      </c>
      <c r="E6" s="116">
        <v>10</v>
      </c>
      <c r="F6" s="84">
        <v>10</v>
      </c>
    </row>
    <row r="7" spans="1:6" x14ac:dyDescent="0.3">
      <c r="A7" s="28" t="s">
        <v>133</v>
      </c>
      <c r="B7" s="89" t="s">
        <v>138</v>
      </c>
      <c r="C7" s="36">
        <v>12</v>
      </c>
      <c r="D7" s="36">
        <v>12</v>
      </c>
      <c r="E7" s="36">
        <v>12</v>
      </c>
      <c r="F7" s="37">
        <v>12</v>
      </c>
    </row>
    <row r="8" spans="1:6" x14ac:dyDescent="0.3">
      <c r="A8" s="28" t="s">
        <v>134</v>
      </c>
      <c r="B8" s="89" t="s">
        <v>138</v>
      </c>
      <c r="C8" s="36">
        <v>12</v>
      </c>
      <c r="D8" s="36">
        <v>12</v>
      </c>
      <c r="E8" s="36">
        <v>12</v>
      </c>
      <c r="F8" s="37">
        <v>12</v>
      </c>
    </row>
    <row r="9" spans="1:6" x14ac:dyDescent="0.3">
      <c r="A9" s="28" t="s">
        <v>135</v>
      </c>
      <c r="B9" s="89" t="s">
        <v>138</v>
      </c>
      <c r="C9" s="36">
        <v>12</v>
      </c>
      <c r="D9" s="36">
        <v>12</v>
      </c>
      <c r="E9" s="36">
        <v>12</v>
      </c>
      <c r="F9" s="37">
        <v>12</v>
      </c>
    </row>
    <row r="10" spans="1:6" x14ac:dyDescent="0.3">
      <c r="A10" s="83" t="s">
        <v>136</v>
      </c>
      <c r="B10" s="115" t="s">
        <v>138</v>
      </c>
      <c r="C10" s="116">
        <v>12</v>
      </c>
      <c r="D10" s="116">
        <v>12</v>
      </c>
      <c r="E10" s="116">
        <v>12</v>
      </c>
      <c r="F10" s="84">
        <v>12</v>
      </c>
    </row>
    <row r="11" spans="1:6" x14ac:dyDescent="0.3">
      <c r="A11" s="28" t="s">
        <v>133</v>
      </c>
      <c r="B11" s="89" t="s">
        <v>346</v>
      </c>
      <c r="C11" s="36">
        <v>1000</v>
      </c>
      <c r="D11" s="36">
        <v>1000</v>
      </c>
      <c r="E11" s="36">
        <v>1000</v>
      </c>
      <c r="F11" s="37">
        <v>1000</v>
      </c>
    </row>
    <row r="12" spans="1:6" x14ac:dyDescent="0.3">
      <c r="A12" s="28" t="s">
        <v>134</v>
      </c>
      <c r="B12" s="89" t="s">
        <v>346</v>
      </c>
      <c r="C12" s="36">
        <v>1000</v>
      </c>
      <c r="D12" s="36">
        <v>1000</v>
      </c>
      <c r="E12" s="36">
        <v>1000</v>
      </c>
      <c r="F12" s="37">
        <v>1000</v>
      </c>
    </row>
    <row r="13" spans="1:6" x14ac:dyDescent="0.3">
      <c r="A13" s="28" t="s">
        <v>135</v>
      </c>
      <c r="B13" s="89" t="s">
        <v>346</v>
      </c>
      <c r="C13" s="36">
        <v>1000</v>
      </c>
      <c r="D13" s="36">
        <v>1000</v>
      </c>
      <c r="E13" s="36">
        <v>1000</v>
      </c>
      <c r="F13" s="37">
        <v>1000</v>
      </c>
    </row>
    <row r="14" spans="1:6" ht="16.2" thickBot="1" x14ac:dyDescent="0.35">
      <c r="A14" s="29" t="s">
        <v>136</v>
      </c>
      <c r="B14" s="115" t="s">
        <v>346</v>
      </c>
      <c r="C14" s="116">
        <v>1000</v>
      </c>
      <c r="D14" s="116">
        <v>1000</v>
      </c>
      <c r="E14" s="116">
        <v>1000</v>
      </c>
      <c r="F14" s="84">
        <v>1000</v>
      </c>
    </row>
    <row r="15" spans="1:6" x14ac:dyDescent="0.3">
      <c r="A15" s="28" t="s">
        <v>133</v>
      </c>
      <c r="B15" s="89" t="s">
        <v>347</v>
      </c>
      <c r="C15" s="36">
        <v>500</v>
      </c>
      <c r="D15" s="36">
        <v>500</v>
      </c>
      <c r="E15" s="36">
        <v>500</v>
      </c>
      <c r="F15" s="37">
        <v>500</v>
      </c>
    </row>
    <row r="16" spans="1:6" x14ac:dyDescent="0.3">
      <c r="A16" s="28" t="s">
        <v>134</v>
      </c>
      <c r="B16" s="89" t="s">
        <v>347</v>
      </c>
      <c r="C16" s="36">
        <v>500</v>
      </c>
      <c r="D16" s="36">
        <v>500</v>
      </c>
      <c r="E16" s="36">
        <v>500</v>
      </c>
      <c r="F16" s="37">
        <v>500</v>
      </c>
    </row>
    <row r="17" spans="1:6" x14ac:dyDescent="0.3">
      <c r="A17" s="28" t="s">
        <v>135</v>
      </c>
      <c r="B17" s="89" t="s">
        <v>347</v>
      </c>
      <c r="C17" s="36">
        <v>500</v>
      </c>
      <c r="D17" s="36">
        <v>500</v>
      </c>
      <c r="E17" s="36">
        <v>500</v>
      </c>
      <c r="F17" s="37">
        <v>500</v>
      </c>
    </row>
    <row r="18" spans="1:6" ht="16.2" thickBot="1" x14ac:dyDescent="0.35">
      <c r="A18" s="29" t="s">
        <v>136</v>
      </c>
      <c r="B18" s="115" t="s">
        <v>347</v>
      </c>
      <c r="C18" s="116">
        <v>500</v>
      </c>
      <c r="D18" s="116">
        <v>500</v>
      </c>
      <c r="E18" s="116">
        <v>500</v>
      </c>
      <c r="F18" s="84">
        <v>500</v>
      </c>
    </row>
    <row r="19" spans="1:6" x14ac:dyDescent="0.3">
      <c r="A19" s="28" t="s">
        <v>133</v>
      </c>
      <c r="B19" s="89" t="s">
        <v>348</v>
      </c>
      <c r="C19" s="36">
        <v>800</v>
      </c>
      <c r="D19" s="36">
        <v>800</v>
      </c>
      <c r="E19" s="36">
        <v>800</v>
      </c>
      <c r="F19" s="37">
        <v>800</v>
      </c>
    </row>
    <row r="20" spans="1:6" x14ac:dyDescent="0.3">
      <c r="A20" s="28" t="s">
        <v>134</v>
      </c>
      <c r="B20" s="89" t="s">
        <v>348</v>
      </c>
      <c r="C20" s="36">
        <v>800</v>
      </c>
      <c r="D20" s="36">
        <v>800</v>
      </c>
      <c r="E20" s="36">
        <v>800</v>
      </c>
      <c r="F20" s="37">
        <v>800</v>
      </c>
    </row>
    <row r="21" spans="1:6" x14ac:dyDescent="0.3">
      <c r="A21" s="28" t="s">
        <v>135</v>
      </c>
      <c r="B21" s="89" t="s">
        <v>348</v>
      </c>
      <c r="C21" s="36">
        <v>800</v>
      </c>
      <c r="D21" s="36">
        <v>800</v>
      </c>
      <c r="E21" s="36">
        <v>800</v>
      </c>
      <c r="F21" s="37">
        <v>800</v>
      </c>
    </row>
    <row r="22" spans="1:6" ht="16.2" thickBot="1" x14ac:dyDescent="0.35">
      <c r="A22" s="29" t="s">
        <v>136</v>
      </c>
      <c r="B22" s="111" t="s">
        <v>348</v>
      </c>
      <c r="C22" s="38">
        <v>800</v>
      </c>
      <c r="D22" s="38">
        <v>800</v>
      </c>
      <c r="E22" s="38">
        <v>800</v>
      </c>
      <c r="F22" s="39">
        <v>800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070-53D7-4763-B1D6-04233A007F0E}">
  <sheetPr>
    <tabColor theme="5" tint="0.79998168889431442"/>
  </sheetPr>
  <dimension ref="A1:E9"/>
  <sheetViews>
    <sheetView workbookViewId="0">
      <selection activeCell="G4" sqref="G4"/>
    </sheetView>
  </sheetViews>
  <sheetFormatPr defaultColWidth="9.33203125" defaultRowHeight="15.6" x14ac:dyDescent="0.3"/>
  <cols>
    <col min="1" max="1" width="21.5546875" style="1" customWidth="1"/>
    <col min="2" max="2" width="9.33203125" style="1"/>
    <col min="3" max="3" width="14.44140625" style="1" bestFit="1" customWidth="1"/>
    <col min="4" max="16384" width="9.33203125" style="1"/>
  </cols>
  <sheetData>
    <row r="1" spans="1:5" ht="16.2" thickBot="1" x14ac:dyDescent="0.35">
      <c r="A1" s="1" t="str">
        <f>_xlfn.CONCAT( "Table of Treatment Capacity Expansion Increments [",VLOOKUP("volume", Units!$A$2:$B$11, 2, FALSE),"/", VLOOKUP("time", Units!$A$2:$B$11, 2, FALSE),"]")</f>
        <v>Table of Treatment Capacity Expansion Increments [bbl/day]</v>
      </c>
    </row>
    <row r="2" spans="1:5" x14ac:dyDescent="0.3">
      <c r="A2" s="6" t="s">
        <v>262</v>
      </c>
      <c r="B2" s="7" t="s">
        <v>177</v>
      </c>
      <c r="C2" s="7" t="s">
        <v>178</v>
      </c>
      <c r="D2" s="7" t="s">
        <v>179</v>
      </c>
      <c r="E2" s="27" t="s">
        <v>180</v>
      </c>
    </row>
    <row r="3" spans="1:5" x14ac:dyDescent="0.3">
      <c r="A3" s="28" t="s">
        <v>137</v>
      </c>
      <c r="B3" s="36">
        <v>0</v>
      </c>
      <c r="C3" s="36">
        <v>10000</v>
      </c>
      <c r="D3" s="36">
        <v>20000</v>
      </c>
      <c r="E3" s="37">
        <v>50000</v>
      </c>
    </row>
    <row r="4" spans="1:5" x14ac:dyDescent="0.3">
      <c r="A4" s="28" t="s">
        <v>138</v>
      </c>
      <c r="B4" s="36">
        <v>0</v>
      </c>
      <c r="C4" s="36">
        <v>10000</v>
      </c>
      <c r="D4" s="36">
        <v>20000</v>
      </c>
      <c r="E4" s="37">
        <v>50000</v>
      </c>
    </row>
    <row r="5" spans="1:5" x14ac:dyDescent="0.3">
      <c r="A5" s="28" t="s">
        <v>346</v>
      </c>
      <c r="B5" s="36">
        <v>0</v>
      </c>
      <c r="C5" s="36">
        <v>10000</v>
      </c>
      <c r="D5" s="36">
        <v>20000</v>
      </c>
      <c r="E5" s="37">
        <v>50000</v>
      </c>
    </row>
    <row r="6" spans="1:5" x14ac:dyDescent="0.3">
      <c r="A6" s="28" t="s">
        <v>347</v>
      </c>
      <c r="B6" s="36">
        <v>0</v>
      </c>
      <c r="C6" s="36">
        <v>10000</v>
      </c>
      <c r="D6" s="36">
        <v>20000</v>
      </c>
      <c r="E6" s="37">
        <v>50000</v>
      </c>
    </row>
    <row r="7" spans="1:5" ht="16.2" thickBot="1" x14ac:dyDescent="0.35">
      <c r="A7" s="29" t="s">
        <v>348</v>
      </c>
      <c r="B7" s="38">
        <v>0</v>
      </c>
      <c r="C7" s="38">
        <v>10000</v>
      </c>
      <c r="D7" s="38">
        <v>20000</v>
      </c>
      <c r="E7" s="39">
        <v>50000</v>
      </c>
    </row>
    <row r="8" spans="1:5" x14ac:dyDescent="0.3">
      <c r="C8" s="87"/>
    </row>
    <row r="9" spans="1:5" x14ac:dyDescent="0.3">
      <c r="C9" s="87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C13-E391-4A34-8851-63FF84EE5034}">
  <sheetPr>
    <tabColor theme="5" tint="0.79998168889431442"/>
  </sheetPr>
  <dimension ref="A1:B3"/>
  <sheetViews>
    <sheetView workbookViewId="0">
      <selection activeCell="A13" sqref="A13"/>
    </sheetView>
  </sheetViews>
  <sheetFormatPr defaultColWidth="9.109375" defaultRowHeight="15.6" x14ac:dyDescent="0.3"/>
  <cols>
    <col min="1" max="1" width="33.109375" style="1" bestFit="1" customWidth="1"/>
    <col min="2" max="2" width="9.33203125" style="1" customWidth="1"/>
    <col min="3" max="16384" width="9.109375" style="1"/>
  </cols>
  <sheetData>
    <row r="1" spans="1:2" ht="16.2" thickBot="1" x14ac:dyDescent="0.35">
      <c r="A1" s="1" t="str">
        <f>_xlfn.CONCAT( "Pipeline Expansion Cost [",VLOOKUP("currency", Units!$A$2:$B$11, 2, FALSE),"/(", VLOOKUP("diameter", Units!$A$2:$B$11, 2, FALSE),"-", VLOOKUP("distance", Units!$A$2:$B$11, 2, FALSE),")]")</f>
        <v>Pipeline Expansion Cost [USD/(inch-mile)]</v>
      </c>
    </row>
    <row r="2" spans="1:2" x14ac:dyDescent="0.3">
      <c r="A2" s="6" t="s">
        <v>43</v>
      </c>
      <c r="B2" s="27" t="s">
        <v>265</v>
      </c>
    </row>
    <row r="3" spans="1:2" ht="16.2" thickBot="1" x14ac:dyDescent="0.35">
      <c r="A3" s="29" t="s">
        <v>266</v>
      </c>
      <c r="B3" s="39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AE-6607-47A3-AB16-0544FAF51C24}">
  <sheetPr>
    <tabColor theme="5" tint="0.79998168889431442"/>
  </sheetPr>
  <dimension ref="A1:AR56"/>
  <sheetViews>
    <sheetView zoomScale="70" zoomScaleNormal="70" workbookViewId="0">
      <pane ySplit="2" topLeftCell="A9" activePane="bottomLeft" state="frozen"/>
      <selection activeCell="A13" sqref="A13"/>
      <selection pane="bottomLeft" activeCell="A13" sqref="A13"/>
    </sheetView>
  </sheetViews>
  <sheetFormatPr defaultColWidth="9.109375" defaultRowHeight="15.6" x14ac:dyDescent="0.3"/>
  <cols>
    <col min="1" max="16384" width="9.109375" style="1"/>
  </cols>
  <sheetData>
    <row r="1" spans="1:44" ht="16.2" thickBot="1" x14ac:dyDescent="0.35">
      <c r="A1" s="1" t="str">
        <f>_xlfn.CONCAT( "Table of Pipeline Expansion Distances [",VLOOKUP("distance", Units!$A$2:$B$11, 2, FALSE),"]")</f>
        <v>Table of Pipeline Expansion Distances [mile]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28" t="s">
        <v>87</v>
      </c>
      <c r="B3" s="9">
        <v>1.4259999999999999</v>
      </c>
      <c r="C3" s="9" t="s">
        <v>267</v>
      </c>
      <c r="D3" s="9" t="s">
        <v>267</v>
      </c>
      <c r="E3" s="9" t="s">
        <v>267</v>
      </c>
      <c r="F3" s="9" t="s">
        <v>267</v>
      </c>
      <c r="G3" s="9" t="s">
        <v>267</v>
      </c>
      <c r="H3" s="9" t="s">
        <v>267</v>
      </c>
      <c r="I3" s="9" t="s">
        <v>267</v>
      </c>
      <c r="J3" s="9" t="s">
        <v>267</v>
      </c>
      <c r="K3" s="9" t="s">
        <v>267</v>
      </c>
      <c r="L3" s="9" t="s">
        <v>267</v>
      </c>
      <c r="M3" s="9" t="s">
        <v>267</v>
      </c>
      <c r="N3" s="9" t="s">
        <v>267</v>
      </c>
      <c r="O3" s="9" t="s">
        <v>267</v>
      </c>
      <c r="P3" s="9" t="s">
        <v>267</v>
      </c>
      <c r="Q3" s="9" t="s">
        <v>267</v>
      </c>
      <c r="R3" s="9" t="s">
        <v>267</v>
      </c>
      <c r="S3" s="9" t="s">
        <v>267</v>
      </c>
      <c r="T3" s="9" t="s">
        <v>267</v>
      </c>
      <c r="U3" s="9" t="s">
        <v>267</v>
      </c>
      <c r="V3" s="9" t="s">
        <v>267</v>
      </c>
      <c r="W3" s="9" t="s">
        <v>267</v>
      </c>
      <c r="X3" s="9" t="s">
        <v>267</v>
      </c>
      <c r="Y3" s="9" t="s">
        <v>267</v>
      </c>
      <c r="Z3" s="9" t="s">
        <v>267</v>
      </c>
      <c r="AA3" s="9" t="s">
        <v>267</v>
      </c>
      <c r="AB3" s="9" t="s">
        <v>267</v>
      </c>
      <c r="AC3" s="9" t="s">
        <v>267</v>
      </c>
      <c r="AD3" s="95" t="s">
        <v>267</v>
      </c>
      <c r="AE3" s="9" t="s">
        <v>267</v>
      </c>
      <c r="AF3" s="9" t="s">
        <v>267</v>
      </c>
      <c r="AG3" s="9" t="s">
        <v>267</v>
      </c>
      <c r="AH3" s="96" t="s">
        <v>267</v>
      </c>
      <c r="AI3" s="9"/>
      <c r="AJ3" s="9"/>
      <c r="AK3" s="9"/>
      <c r="AL3" s="9"/>
      <c r="AM3" s="95" t="s">
        <v>267</v>
      </c>
      <c r="AN3" s="9"/>
      <c r="AO3" s="96"/>
      <c r="AP3" s="9" t="s">
        <v>267</v>
      </c>
      <c r="AQ3" s="9" t="s">
        <v>267</v>
      </c>
      <c r="AR3" s="31" t="s">
        <v>267</v>
      </c>
    </row>
    <row r="4" spans="1:44" x14ac:dyDescent="0.3">
      <c r="A4" s="28" t="s">
        <v>88</v>
      </c>
      <c r="B4" s="9" t="s">
        <v>267</v>
      </c>
      <c r="C4" s="9" t="s">
        <v>267</v>
      </c>
      <c r="D4" s="9" t="s">
        <v>267</v>
      </c>
      <c r="E4" s="9" t="s">
        <v>267</v>
      </c>
      <c r="F4" s="9">
        <v>1.6847000000000001</v>
      </c>
      <c r="G4" s="9" t="s">
        <v>267</v>
      </c>
      <c r="H4" s="9" t="s">
        <v>267</v>
      </c>
      <c r="I4" s="9" t="s">
        <v>267</v>
      </c>
      <c r="J4" s="9" t="s">
        <v>267</v>
      </c>
      <c r="K4" s="9" t="s">
        <v>267</v>
      </c>
      <c r="L4" s="9" t="s">
        <v>267</v>
      </c>
      <c r="M4" s="9" t="s">
        <v>267</v>
      </c>
      <c r="N4" s="9" t="s">
        <v>267</v>
      </c>
      <c r="O4" s="9" t="s">
        <v>267</v>
      </c>
      <c r="P4" s="9" t="s">
        <v>267</v>
      </c>
      <c r="Q4" s="9" t="s">
        <v>267</v>
      </c>
      <c r="R4" s="9" t="s">
        <v>267</v>
      </c>
      <c r="S4" s="9" t="s">
        <v>267</v>
      </c>
      <c r="T4" s="9" t="s">
        <v>267</v>
      </c>
      <c r="U4" s="9" t="s">
        <v>267</v>
      </c>
      <c r="V4" s="9" t="s">
        <v>267</v>
      </c>
      <c r="W4" s="9" t="s">
        <v>267</v>
      </c>
      <c r="X4" s="9" t="s">
        <v>267</v>
      </c>
      <c r="Y4" s="9" t="s">
        <v>267</v>
      </c>
      <c r="Z4" s="9" t="s">
        <v>267</v>
      </c>
      <c r="AA4" s="9" t="s">
        <v>267</v>
      </c>
      <c r="AB4" s="9" t="s">
        <v>267</v>
      </c>
      <c r="AC4" s="9" t="s">
        <v>267</v>
      </c>
      <c r="AD4" s="95" t="s">
        <v>267</v>
      </c>
      <c r="AE4" s="9" t="s">
        <v>267</v>
      </c>
      <c r="AF4" s="9" t="s">
        <v>267</v>
      </c>
      <c r="AG4" s="9" t="s">
        <v>267</v>
      </c>
      <c r="AH4" s="96" t="s">
        <v>267</v>
      </c>
      <c r="AI4" s="9"/>
      <c r="AJ4" s="9"/>
      <c r="AK4" s="9"/>
      <c r="AL4" s="9"/>
      <c r="AM4" s="95" t="s">
        <v>267</v>
      </c>
      <c r="AN4" s="9"/>
      <c r="AO4" s="96"/>
      <c r="AP4" s="9" t="s">
        <v>267</v>
      </c>
      <c r="AQ4" s="9" t="s">
        <v>267</v>
      </c>
      <c r="AR4" s="31" t="s">
        <v>267</v>
      </c>
    </row>
    <row r="5" spans="1:44" x14ac:dyDescent="0.3">
      <c r="A5" s="28" t="s">
        <v>89</v>
      </c>
      <c r="B5" s="9" t="s">
        <v>267</v>
      </c>
      <c r="C5" s="9" t="s">
        <v>267</v>
      </c>
      <c r="D5" s="9" t="s">
        <v>267</v>
      </c>
      <c r="E5" s="9" t="s">
        <v>267</v>
      </c>
      <c r="F5" s="9" t="s">
        <v>267</v>
      </c>
      <c r="G5" s="9">
        <v>1.2563</v>
      </c>
      <c r="H5" s="9" t="s">
        <v>267</v>
      </c>
      <c r="I5" s="9" t="s">
        <v>267</v>
      </c>
      <c r="J5" s="9" t="s">
        <v>267</v>
      </c>
      <c r="K5" s="9" t="s">
        <v>267</v>
      </c>
      <c r="L5" s="9" t="s">
        <v>267</v>
      </c>
      <c r="M5" s="9" t="s">
        <v>267</v>
      </c>
      <c r="N5" s="9" t="s">
        <v>267</v>
      </c>
      <c r="O5" s="9" t="s">
        <v>267</v>
      </c>
      <c r="P5" s="9" t="s">
        <v>267</v>
      </c>
      <c r="Q5" s="9" t="s">
        <v>267</v>
      </c>
      <c r="R5" s="9" t="s">
        <v>267</v>
      </c>
      <c r="S5" s="9" t="s">
        <v>267</v>
      </c>
      <c r="T5" s="9" t="s">
        <v>267</v>
      </c>
      <c r="U5" s="9" t="s">
        <v>267</v>
      </c>
      <c r="V5" s="9" t="s">
        <v>267</v>
      </c>
      <c r="W5" s="9" t="s">
        <v>267</v>
      </c>
      <c r="X5" s="9" t="s">
        <v>267</v>
      </c>
      <c r="Y5" s="9" t="s">
        <v>267</v>
      </c>
      <c r="Z5" s="9" t="s">
        <v>267</v>
      </c>
      <c r="AA5" s="9" t="s">
        <v>267</v>
      </c>
      <c r="AB5" s="9" t="s">
        <v>267</v>
      </c>
      <c r="AC5" s="9" t="s">
        <v>267</v>
      </c>
      <c r="AD5" s="95" t="s">
        <v>267</v>
      </c>
      <c r="AE5" s="9" t="s">
        <v>267</v>
      </c>
      <c r="AF5" s="9" t="s">
        <v>267</v>
      </c>
      <c r="AG5" s="9" t="s">
        <v>267</v>
      </c>
      <c r="AH5" s="96" t="s">
        <v>267</v>
      </c>
      <c r="AI5" s="9"/>
      <c r="AJ5" s="9"/>
      <c r="AK5" s="9"/>
      <c r="AL5" s="9"/>
      <c r="AM5" s="95" t="s">
        <v>267</v>
      </c>
      <c r="AN5" s="9"/>
      <c r="AO5" s="96"/>
      <c r="AP5" s="9" t="s">
        <v>267</v>
      </c>
      <c r="AQ5" s="9" t="s">
        <v>267</v>
      </c>
      <c r="AR5" s="31" t="s">
        <v>267</v>
      </c>
    </row>
    <row r="6" spans="1:44" x14ac:dyDescent="0.3">
      <c r="A6" s="28" t="s">
        <v>90</v>
      </c>
      <c r="B6" s="9" t="s">
        <v>267</v>
      </c>
      <c r="C6" s="9" t="s">
        <v>267</v>
      </c>
      <c r="D6" s="9" t="s">
        <v>267</v>
      </c>
      <c r="E6" s="9" t="s">
        <v>267</v>
      </c>
      <c r="F6" s="9" t="s">
        <v>267</v>
      </c>
      <c r="G6" s="9" t="s">
        <v>267</v>
      </c>
      <c r="H6" s="9" t="s">
        <v>267</v>
      </c>
      <c r="I6" s="9" t="s">
        <v>267</v>
      </c>
      <c r="J6" s="9" t="s">
        <v>267</v>
      </c>
      <c r="K6" s="9" t="s">
        <v>267</v>
      </c>
      <c r="L6" s="9">
        <v>2.5074000000000001</v>
      </c>
      <c r="M6" s="9" t="s">
        <v>267</v>
      </c>
      <c r="N6" s="9" t="s">
        <v>267</v>
      </c>
      <c r="O6" s="9" t="s">
        <v>267</v>
      </c>
      <c r="P6" s="9" t="s">
        <v>267</v>
      </c>
      <c r="Q6" s="9" t="s">
        <v>267</v>
      </c>
      <c r="R6" s="9" t="s">
        <v>267</v>
      </c>
      <c r="S6" s="9" t="s">
        <v>267</v>
      </c>
      <c r="T6" s="9" t="s">
        <v>267</v>
      </c>
      <c r="U6" s="9" t="s">
        <v>267</v>
      </c>
      <c r="V6" s="9" t="s">
        <v>267</v>
      </c>
      <c r="W6" s="9" t="s">
        <v>267</v>
      </c>
      <c r="X6" s="9" t="s">
        <v>267</v>
      </c>
      <c r="Y6" s="9" t="s">
        <v>267</v>
      </c>
      <c r="Z6" s="9" t="s">
        <v>267</v>
      </c>
      <c r="AA6" s="9" t="s">
        <v>267</v>
      </c>
      <c r="AB6" s="9" t="s">
        <v>267</v>
      </c>
      <c r="AC6" s="9" t="s">
        <v>267</v>
      </c>
      <c r="AD6" s="95" t="s">
        <v>267</v>
      </c>
      <c r="AE6" s="9" t="s">
        <v>267</v>
      </c>
      <c r="AF6" s="9" t="s">
        <v>267</v>
      </c>
      <c r="AG6" s="9" t="s">
        <v>267</v>
      </c>
      <c r="AH6" s="96" t="s">
        <v>267</v>
      </c>
      <c r="AI6" s="9"/>
      <c r="AJ6" s="9"/>
      <c r="AK6" s="9"/>
      <c r="AL6" s="9"/>
      <c r="AM6" s="95" t="s">
        <v>267</v>
      </c>
      <c r="AN6" s="9"/>
      <c r="AO6" s="96"/>
      <c r="AP6" s="9" t="s">
        <v>267</v>
      </c>
      <c r="AQ6" s="9" t="s">
        <v>267</v>
      </c>
      <c r="AR6" s="31" t="s">
        <v>267</v>
      </c>
    </row>
    <row r="7" spans="1:44" x14ac:dyDescent="0.3">
      <c r="A7" s="28" t="s">
        <v>91</v>
      </c>
      <c r="B7" s="9" t="s">
        <v>267</v>
      </c>
      <c r="C7" s="9" t="s">
        <v>267</v>
      </c>
      <c r="D7" s="9" t="s">
        <v>267</v>
      </c>
      <c r="E7" s="9" t="s">
        <v>267</v>
      </c>
      <c r="F7" s="9" t="s">
        <v>267</v>
      </c>
      <c r="G7" s="9" t="s">
        <v>267</v>
      </c>
      <c r="H7" s="9" t="s">
        <v>267</v>
      </c>
      <c r="I7" s="9" t="s">
        <v>267</v>
      </c>
      <c r="J7" s="9" t="s">
        <v>267</v>
      </c>
      <c r="K7" s="9">
        <v>5.9184867367820804</v>
      </c>
      <c r="L7" s="9" t="s">
        <v>267</v>
      </c>
      <c r="M7" s="9">
        <v>1.4871000000000001</v>
      </c>
      <c r="N7" s="9" t="s">
        <v>267</v>
      </c>
      <c r="O7" s="9" t="s">
        <v>267</v>
      </c>
      <c r="P7" s="9" t="s">
        <v>267</v>
      </c>
      <c r="Q7" s="9" t="s">
        <v>267</v>
      </c>
      <c r="R7" s="9" t="s">
        <v>267</v>
      </c>
      <c r="S7" s="9" t="s">
        <v>267</v>
      </c>
      <c r="T7" s="9" t="s">
        <v>267</v>
      </c>
      <c r="U7" s="9" t="s">
        <v>267</v>
      </c>
      <c r="V7" s="9" t="s">
        <v>267</v>
      </c>
      <c r="W7" s="9" t="s">
        <v>267</v>
      </c>
      <c r="X7" s="9" t="s">
        <v>267</v>
      </c>
      <c r="Y7" s="9" t="s">
        <v>267</v>
      </c>
      <c r="Z7" s="9" t="s">
        <v>267</v>
      </c>
      <c r="AA7" s="9" t="s">
        <v>267</v>
      </c>
      <c r="AB7" s="9" t="s">
        <v>267</v>
      </c>
      <c r="AC7" s="9" t="s">
        <v>267</v>
      </c>
      <c r="AD7" s="95" t="s">
        <v>267</v>
      </c>
      <c r="AE7" s="9" t="s">
        <v>267</v>
      </c>
      <c r="AF7" s="9" t="s">
        <v>267</v>
      </c>
      <c r="AG7" s="9" t="s">
        <v>267</v>
      </c>
      <c r="AH7" s="96" t="s">
        <v>267</v>
      </c>
      <c r="AI7" s="9"/>
      <c r="AJ7" s="9"/>
      <c r="AK7" s="9"/>
      <c r="AL7" s="9"/>
      <c r="AM7" s="95" t="s">
        <v>267</v>
      </c>
      <c r="AN7" s="9"/>
      <c r="AO7" s="96"/>
      <c r="AP7" s="9" t="s">
        <v>267</v>
      </c>
      <c r="AQ7" s="9" t="s">
        <v>267</v>
      </c>
      <c r="AR7" s="31" t="s">
        <v>267</v>
      </c>
    </row>
    <row r="8" spans="1:44" x14ac:dyDescent="0.3">
      <c r="A8" s="28" t="s">
        <v>92</v>
      </c>
      <c r="B8" s="9" t="s">
        <v>267</v>
      </c>
      <c r="C8" s="9" t="s">
        <v>267</v>
      </c>
      <c r="D8" s="9" t="s">
        <v>267</v>
      </c>
      <c r="E8" s="9" t="s">
        <v>267</v>
      </c>
      <c r="F8" s="9" t="s">
        <v>267</v>
      </c>
      <c r="G8" s="9" t="s">
        <v>267</v>
      </c>
      <c r="H8" s="9" t="s">
        <v>267</v>
      </c>
      <c r="I8" s="9" t="s">
        <v>267</v>
      </c>
      <c r="J8" s="9" t="s">
        <v>267</v>
      </c>
      <c r="K8" s="9" t="s">
        <v>267</v>
      </c>
      <c r="L8" s="9" t="s">
        <v>267</v>
      </c>
      <c r="M8" s="9" t="s">
        <v>267</v>
      </c>
      <c r="N8" s="9" t="s">
        <v>267</v>
      </c>
      <c r="O8" s="9" t="s">
        <v>267</v>
      </c>
      <c r="P8" s="9" t="s">
        <v>267</v>
      </c>
      <c r="Q8" s="9">
        <v>2.4758</v>
      </c>
      <c r="R8" s="9" t="s">
        <v>267</v>
      </c>
      <c r="S8" s="9" t="s">
        <v>267</v>
      </c>
      <c r="T8" s="9" t="s">
        <v>267</v>
      </c>
      <c r="U8" s="9" t="s">
        <v>267</v>
      </c>
      <c r="V8" s="9" t="s">
        <v>267</v>
      </c>
      <c r="W8" s="9" t="s">
        <v>267</v>
      </c>
      <c r="X8" s="9" t="s">
        <v>267</v>
      </c>
      <c r="Y8" s="9" t="s">
        <v>267</v>
      </c>
      <c r="Z8" s="9" t="s">
        <v>267</v>
      </c>
      <c r="AA8" s="9" t="s">
        <v>267</v>
      </c>
      <c r="AB8" s="9" t="s">
        <v>267</v>
      </c>
      <c r="AC8" s="9" t="s">
        <v>267</v>
      </c>
      <c r="AD8" s="95" t="s">
        <v>267</v>
      </c>
      <c r="AE8" s="9" t="s">
        <v>267</v>
      </c>
      <c r="AF8" s="9" t="s">
        <v>267</v>
      </c>
      <c r="AG8" s="9" t="s">
        <v>267</v>
      </c>
      <c r="AH8" s="96" t="s">
        <v>267</v>
      </c>
      <c r="AI8" s="9"/>
      <c r="AJ8" s="9"/>
      <c r="AK8" s="9"/>
      <c r="AL8" s="9"/>
      <c r="AM8" s="95" t="s">
        <v>267</v>
      </c>
      <c r="AN8" s="9"/>
      <c r="AO8" s="96"/>
      <c r="AP8" s="9" t="s">
        <v>267</v>
      </c>
      <c r="AQ8" s="9" t="s">
        <v>267</v>
      </c>
      <c r="AR8" s="31" t="s">
        <v>267</v>
      </c>
    </row>
    <row r="9" spans="1:44" x14ac:dyDescent="0.3">
      <c r="A9" s="28" t="s">
        <v>93</v>
      </c>
      <c r="B9" s="9" t="s">
        <v>267</v>
      </c>
      <c r="C9" s="9" t="s">
        <v>267</v>
      </c>
      <c r="D9" s="9" t="s">
        <v>267</v>
      </c>
      <c r="E9" s="9" t="s">
        <v>267</v>
      </c>
      <c r="F9" s="9" t="s">
        <v>267</v>
      </c>
      <c r="G9" s="9" t="s">
        <v>267</v>
      </c>
      <c r="H9" s="9" t="s">
        <v>267</v>
      </c>
      <c r="I9" s="9" t="s">
        <v>267</v>
      </c>
      <c r="J9" s="9" t="s">
        <v>267</v>
      </c>
      <c r="K9" s="9" t="s">
        <v>267</v>
      </c>
      <c r="L9" s="9" t="s">
        <v>267</v>
      </c>
      <c r="M9" s="9" t="s">
        <v>267</v>
      </c>
      <c r="N9" s="9" t="s">
        <v>267</v>
      </c>
      <c r="O9" s="9" t="s">
        <v>267</v>
      </c>
      <c r="P9" s="9">
        <v>3.0722259990726202</v>
      </c>
      <c r="Q9" s="9" t="s">
        <v>267</v>
      </c>
      <c r="R9" s="9" t="s">
        <v>267</v>
      </c>
      <c r="S9" s="9" t="s">
        <v>267</v>
      </c>
      <c r="T9" s="9" t="s">
        <v>267</v>
      </c>
      <c r="U9" s="9" t="s">
        <v>267</v>
      </c>
      <c r="V9" s="9" t="s">
        <v>267</v>
      </c>
      <c r="W9" s="9" t="s">
        <v>267</v>
      </c>
      <c r="X9" s="9" t="s">
        <v>267</v>
      </c>
      <c r="Y9" s="9" t="s">
        <v>267</v>
      </c>
      <c r="Z9" s="9" t="s">
        <v>267</v>
      </c>
      <c r="AA9" s="9" t="s">
        <v>267</v>
      </c>
      <c r="AB9" s="9" t="s">
        <v>267</v>
      </c>
      <c r="AC9" s="9" t="s">
        <v>267</v>
      </c>
      <c r="AD9" s="95" t="s">
        <v>267</v>
      </c>
      <c r="AE9" s="9" t="s">
        <v>267</v>
      </c>
      <c r="AF9" s="9" t="s">
        <v>267</v>
      </c>
      <c r="AG9" s="9" t="s">
        <v>267</v>
      </c>
      <c r="AH9" s="96" t="s">
        <v>267</v>
      </c>
      <c r="AI9" s="9"/>
      <c r="AJ9" s="9"/>
      <c r="AK9" s="9"/>
      <c r="AL9" s="9"/>
      <c r="AM9" s="95" t="s">
        <v>267</v>
      </c>
      <c r="AN9" s="9"/>
      <c r="AO9" s="96"/>
      <c r="AP9" s="9" t="s">
        <v>267</v>
      </c>
      <c r="AQ9" s="9" t="s">
        <v>267</v>
      </c>
      <c r="AR9" s="31" t="s">
        <v>267</v>
      </c>
    </row>
    <row r="10" spans="1:44" x14ac:dyDescent="0.3">
      <c r="A10" s="28" t="s">
        <v>94</v>
      </c>
      <c r="B10" s="9" t="s">
        <v>267</v>
      </c>
      <c r="C10" s="9" t="s">
        <v>267</v>
      </c>
      <c r="D10" s="9" t="s">
        <v>267</v>
      </c>
      <c r="E10" s="9" t="s">
        <v>267</v>
      </c>
      <c r="F10" s="9" t="s">
        <v>267</v>
      </c>
      <c r="G10" s="9" t="s">
        <v>267</v>
      </c>
      <c r="H10" s="9" t="s">
        <v>267</v>
      </c>
      <c r="I10" s="9" t="s">
        <v>267</v>
      </c>
      <c r="J10" s="9" t="s">
        <v>267</v>
      </c>
      <c r="K10" s="9" t="s">
        <v>267</v>
      </c>
      <c r="L10" s="9" t="s">
        <v>267</v>
      </c>
      <c r="M10" s="9" t="s">
        <v>267</v>
      </c>
      <c r="N10" s="9" t="s">
        <v>267</v>
      </c>
      <c r="O10" s="9" t="s">
        <v>267</v>
      </c>
      <c r="P10" s="9" t="s">
        <v>267</v>
      </c>
      <c r="Q10" s="9" t="s">
        <v>267</v>
      </c>
      <c r="R10" s="9" t="s">
        <v>267</v>
      </c>
      <c r="S10" s="9">
        <v>9.952</v>
      </c>
      <c r="T10" s="9" t="s">
        <v>267</v>
      </c>
      <c r="U10" s="9" t="s">
        <v>267</v>
      </c>
      <c r="V10" s="9" t="s">
        <v>267</v>
      </c>
      <c r="W10" s="9" t="s">
        <v>267</v>
      </c>
      <c r="X10" s="9" t="s">
        <v>267</v>
      </c>
      <c r="Y10" s="9" t="s">
        <v>267</v>
      </c>
      <c r="Z10" s="9" t="s">
        <v>267</v>
      </c>
      <c r="AA10" s="9" t="s">
        <v>267</v>
      </c>
      <c r="AB10" s="9" t="s">
        <v>267</v>
      </c>
      <c r="AC10" s="9" t="s">
        <v>267</v>
      </c>
      <c r="AD10" s="95" t="s">
        <v>267</v>
      </c>
      <c r="AE10" s="9" t="s">
        <v>267</v>
      </c>
      <c r="AF10" s="9" t="s">
        <v>267</v>
      </c>
      <c r="AG10" s="9" t="s">
        <v>267</v>
      </c>
      <c r="AH10" s="96" t="s">
        <v>267</v>
      </c>
      <c r="AI10" s="9"/>
      <c r="AJ10" s="9"/>
      <c r="AK10" s="9"/>
      <c r="AL10" s="9"/>
      <c r="AM10" s="95" t="s">
        <v>267</v>
      </c>
      <c r="AN10" s="9"/>
      <c r="AO10" s="96"/>
      <c r="AP10" s="9" t="s">
        <v>267</v>
      </c>
      <c r="AQ10" s="9" t="s">
        <v>267</v>
      </c>
      <c r="AR10" s="31" t="s">
        <v>267</v>
      </c>
    </row>
    <row r="11" spans="1:44" x14ac:dyDescent="0.3">
      <c r="A11" s="28" t="s">
        <v>95</v>
      </c>
      <c r="B11" s="9" t="s">
        <v>267</v>
      </c>
      <c r="C11" s="9" t="s">
        <v>267</v>
      </c>
      <c r="D11" s="9" t="s">
        <v>267</v>
      </c>
      <c r="E11" s="9" t="s">
        <v>267</v>
      </c>
      <c r="F11" s="9" t="s">
        <v>267</v>
      </c>
      <c r="G11" s="9" t="s">
        <v>267</v>
      </c>
      <c r="H11" s="9" t="s">
        <v>267</v>
      </c>
      <c r="I11" s="9" t="s">
        <v>267</v>
      </c>
      <c r="J11" s="9" t="s">
        <v>267</v>
      </c>
      <c r="K11" s="9" t="s">
        <v>267</v>
      </c>
      <c r="L11" s="9" t="s">
        <v>267</v>
      </c>
      <c r="M11" s="9" t="s">
        <v>267</v>
      </c>
      <c r="N11" s="9" t="s">
        <v>267</v>
      </c>
      <c r="O11" s="9" t="s">
        <v>267</v>
      </c>
      <c r="P11" s="9" t="s">
        <v>267</v>
      </c>
      <c r="Q11" s="9" t="s">
        <v>267</v>
      </c>
      <c r="R11" s="9" t="s">
        <v>267</v>
      </c>
      <c r="S11" s="9" t="s">
        <v>267</v>
      </c>
      <c r="T11" s="9" t="s">
        <v>267</v>
      </c>
      <c r="U11" s="9" t="s">
        <v>267</v>
      </c>
      <c r="V11" s="9">
        <v>2.4247000000000001</v>
      </c>
      <c r="W11" s="9" t="s">
        <v>267</v>
      </c>
      <c r="X11" s="9" t="s">
        <v>267</v>
      </c>
      <c r="Y11" s="9" t="s">
        <v>267</v>
      </c>
      <c r="Z11" s="9" t="s">
        <v>267</v>
      </c>
      <c r="AA11" s="9" t="s">
        <v>267</v>
      </c>
      <c r="AB11" s="9" t="s">
        <v>267</v>
      </c>
      <c r="AC11" s="9" t="s">
        <v>267</v>
      </c>
      <c r="AD11" s="95" t="s">
        <v>267</v>
      </c>
      <c r="AE11" s="9" t="s">
        <v>267</v>
      </c>
      <c r="AF11" s="9" t="s">
        <v>267</v>
      </c>
      <c r="AG11" s="9" t="s">
        <v>267</v>
      </c>
      <c r="AH11" s="96" t="s">
        <v>267</v>
      </c>
      <c r="AI11" s="9"/>
      <c r="AJ11" s="9"/>
      <c r="AK11" s="9"/>
      <c r="AL11" s="9"/>
      <c r="AM11" s="95" t="s">
        <v>267</v>
      </c>
      <c r="AN11" s="9"/>
      <c r="AO11" s="96"/>
      <c r="AP11" s="9" t="s">
        <v>267</v>
      </c>
      <c r="AQ11" s="9" t="s">
        <v>267</v>
      </c>
      <c r="AR11" s="31" t="s">
        <v>267</v>
      </c>
    </row>
    <row r="12" spans="1:44" x14ac:dyDescent="0.3">
      <c r="A12" s="28" t="s">
        <v>96</v>
      </c>
      <c r="B12" s="9" t="s">
        <v>267</v>
      </c>
      <c r="C12" s="9" t="s">
        <v>267</v>
      </c>
      <c r="D12" s="9" t="s">
        <v>267</v>
      </c>
      <c r="E12" s="9" t="s">
        <v>267</v>
      </c>
      <c r="F12" s="9" t="s">
        <v>267</v>
      </c>
      <c r="G12" s="9" t="s">
        <v>267</v>
      </c>
      <c r="H12" s="9" t="s">
        <v>267</v>
      </c>
      <c r="I12" s="9" t="s">
        <v>267</v>
      </c>
      <c r="J12" s="9" t="s">
        <v>267</v>
      </c>
      <c r="K12" s="9" t="s">
        <v>267</v>
      </c>
      <c r="L12" s="9" t="s">
        <v>267</v>
      </c>
      <c r="M12" s="9" t="s">
        <v>267</v>
      </c>
      <c r="N12" s="9" t="s">
        <v>267</v>
      </c>
      <c r="O12" s="9" t="s">
        <v>267</v>
      </c>
      <c r="P12" s="9" t="s">
        <v>267</v>
      </c>
      <c r="Q12" s="9" t="s">
        <v>267</v>
      </c>
      <c r="R12" s="9" t="s">
        <v>267</v>
      </c>
      <c r="S12" s="9" t="s">
        <v>267</v>
      </c>
      <c r="T12" s="9">
        <v>2.4037000000000002</v>
      </c>
      <c r="U12" s="9" t="s">
        <v>267</v>
      </c>
      <c r="V12" s="9" t="s">
        <v>267</v>
      </c>
      <c r="W12" s="9" t="s">
        <v>267</v>
      </c>
      <c r="X12" s="9" t="s">
        <v>267</v>
      </c>
      <c r="Y12" s="9" t="s">
        <v>267</v>
      </c>
      <c r="Z12" s="9" t="s">
        <v>267</v>
      </c>
      <c r="AA12" s="9" t="s">
        <v>267</v>
      </c>
      <c r="AB12" s="9" t="s">
        <v>267</v>
      </c>
      <c r="AC12" s="9" t="s">
        <v>267</v>
      </c>
      <c r="AD12" s="95" t="s">
        <v>267</v>
      </c>
      <c r="AE12" s="9" t="s">
        <v>267</v>
      </c>
      <c r="AF12" s="9" t="s">
        <v>267</v>
      </c>
      <c r="AG12" s="9" t="s">
        <v>267</v>
      </c>
      <c r="AH12" s="96" t="s">
        <v>267</v>
      </c>
      <c r="AI12" s="9"/>
      <c r="AJ12" s="9"/>
      <c r="AK12" s="9"/>
      <c r="AL12" s="9"/>
      <c r="AM12" s="95" t="s">
        <v>267</v>
      </c>
      <c r="AN12" s="9"/>
      <c r="AO12" s="96"/>
      <c r="AP12" s="9" t="s">
        <v>267</v>
      </c>
      <c r="AQ12" s="9" t="s">
        <v>267</v>
      </c>
      <c r="AR12" s="31" t="s">
        <v>267</v>
      </c>
    </row>
    <row r="13" spans="1:44" x14ac:dyDescent="0.3">
      <c r="A13" s="28" t="s">
        <v>97</v>
      </c>
      <c r="B13" s="9" t="s">
        <v>267</v>
      </c>
      <c r="C13" s="9" t="s">
        <v>267</v>
      </c>
      <c r="D13" s="9" t="s">
        <v>267</v>
      </c>
      <c r="E13" s="9" t="s">
        <v>267</v>
      </c>
      <c r="F13" s="9" t="s">
        <v>267</v>
      </c>
      <c r="G13" s="9" t="s">
        <v>267</v>
      </c>
      <c r="H13" s="9" t="s">
        <v>267</v>
      </c>
      <c r="I13" s="9" t="s">
        <v>267</v>
      </c>
      <c r="J13" s="9" t="s">
        <v>267</v>
      </c>
      <c r="K13" s="9" t="s">
        <v>267</v>
      </c>
      <c r="L13" s="9" t="s">
        <v>267</v>
      </c>
      <c r="M13" s="9" t="s">
        <v>267</v>
      </c>
      <c r="N13" s="9" t="s">
        <v>267</v>
      </c>
      <c r="O13" s="9" t="s">
        <v>267</v>
      </c>
      <c r="P13" s="9" t="s">
        <v>267</v>
      </c>
      <c r="Q13" s="9" t="s">
        <v>267</v>
      </c>
      <c r="R13" s="9" t="s">
        <v>267</v>
      </c>
      <c r="S13" s="9" t="s">
        <v>267</v>
      </c>
      <c r="T13" s="9" t="s">
        <v>267</v>
      </c>
      <c r="U13" s="9" t="s">
        <v>267</v>
      </c>
      <c r="V13" s="9" t="s">
        <v>267</v>
      </c>
      <c r="W13" s="9" t="s">
        <v>267</v>
      </c>
      <c r="X13" s="9" t="s">
        <v>267</v>
      </c>
      <c r="Y13" s="9" t="s">
        <v>267</v>
      </c>
      <c r="Z13" s="9">
        <v>3.8296999999999999</v>
      </c>
      <c r="AA13" s="9" t="s">
        <v>267</v>
      </c>
      <c r="AB13" s="9" t="s">
        <v>267</v>
      </c>
      <c r="AC13" s="9" t="s">
        <v>267</v>
      </c>
      <c r="AD13" s="95" t="s">
        <v>267</v>
      </c>
      <c r="AE13" s="9" t="s">
        <v>267</v>
      </c>
      <c r="AF13" s="9" t="s">
        <v>267</v>
      </c>
      <c r="AG13" s="9" t="s">
        <v>267</v>
      </c>
      <c r="AH13" s="96" t="s">
        <v>267</v>
      </c>
      <c r="AI13" s="9"/>
      <c r="AJ13" s="9"/>
      <c r="AK13" s="9"/>
      <c r="AL13" s="9"/>
      <c r="AM13" s="95" t="s">
        <v>267</v>
      </c>
      <c r="AN13" s="9"/>
      <c r="AO13" s="96"/>
      <c r="AP13" s="9" t="s">
        <v>267</v>
      </c>
      <c r="AQ13" s="9" t="s">
        <v>267</v>
      </c>
      <c r="AR13" s="31" t="s">
        <v>267</v>
      </c>
    </row>
    <row r="14" spans="1:44" x14ac:dyDescent="0.3">
      <c r="A14" s="28" t="s">
        <v>98</v>
      </c>
      <c r="B14" s="9" t="s">
        <v>267</v>
      </c>
      <c r="C14" s="9" t="s">
        <v>267</v>
      </c>
      <c r="D14" s="9" t="s">
        <v>267</v>
      </c>
      <c r="E14" s="9" t="s">
        <v>267</v>
      </c>
      <c r="F14" s="9" t="s">
        <v>267</v>
      </c>
      <c r="G14" s="9" t="s">
        <v>267</v>
      </c>
      <c r="H14" s="9" t="s">
        <v>267</v>
      </c>
      <c r="I14" s="9" t="s">
        <v>267</v>
      </c>
      <c r="J14" s="9" t="s">
        <v>267</v>
      </c>
      <c r="K14" s="9" t="s">
        <v>267</v>
      </c>
      <c r="L14" s="9" t="s">
        <v>267</v>
      </c>
      <c r="M14" s="9" t="s">
        <v>267</v>
      </c>
      <c r="N14" s="9" t="s">
        <v>267</v>
      </c>
      <c r="O14" s="9" t="s">
        <v>267</v>
      </c>
      <c r="P14" s="9" t="s">
        <v>267</v>
      </c>
      <c r="Q14" s="9" t="s">
        <v>267</v>
      </c>
      <c r="R14" s="9" t="s">
        <v>267</v>
      </c>
      <c r="S14" s="9" t="s">
        <v>267</v>
      </c>
      <c r="T14" s="9" t="s">
        <v>267</v>
      </c>
      <c r="U14" s="9" t="s">
        <v>267</v>
      </c>
      <c r="V14" s="9" t="s">
        <v>267</v>
      </c>
      <c r="W14" s="9" t="s">
        <v>267</v>
      </c>
      <c r="X14" s="9" t="s">
        <v>267</v>
      </c>
      <c r="Y14" s="9" t="s">
        <v>267</v>
      </c>
      <c r="Z14" s="9" t="s">
        <v>267</v>
      </c>
      <c r="AA14" s="9" t="s">
        <v>267</v>
      </c>
      <c r="AB14" s="9">
        <v>8.504999999999999</v>
      </c>
      <c r="AC14" s="9" t="s">
        <v>267</v>
      </c>
      <c r="AD14" s="95" t="s">
        <v>267</v>
      </c>
      <c r="AE14" s="9" t="s">
        <v>267</v>
      </c>
      <c r="AF14" s="9" t="s">
        <v>267</v>
      </c>
      <c r="AG14" s="9" t="s">
        <v>267</v>
      </c>
      <c r="AH14" s="96" t="s">
        <v>267</v>
      </c>
      <c r="AI14" s="9"/>
      <c r="AJ14" s="9"/>
      <c r="AK14" s="9"/>
      <c r="AL14" s="9"/>
      <c r="AM14" s="95" t="s">
        <v>267</v>
      </c>
      <c r="AN14" s="9"/>
      <c r="AO14" s="96"/>
      <c r="AP14" s="9" t="s">
        <v>267</v>
      </c>
      <c r="AQ14" s="9" t="s">
        <v>267</v>
      </c>
      <c r="AR14" s="31" t="s">
        <v>267</v>
      </c>
    </row>
    <row r="15" spans="1:44" x14ac:dyDescent="0.3">
      <c r="A15" s="28" t="s">
        <v>99</v>
      </c>
      <c r="B15" s="9" t="s">
        <v>267</v>
      </c>
      <c r="C15" s="9" t="s">
        <v>267</v>
      </c>
      <c r="D15" s="9" t="s">
        <v>267</v>
      </c>
      <c r="E15" s="9" t="s">
        <v>267</v>
      </c>
      <c r="F15" s="9" t="s">
        <v>267</v>
      </c>
      <c r="G15" s="9" t="s">
        <v>267</v>
      </c>
      <c r="H15" s="9" t="s">
        <v>267</v>
      </c>
      <c r="I15" s="9" t="s">
        <v>267</v>
      </c>
      <c r="J15" s="9" t="s">
        <v>267</v>
      </c>
      <c r="K15" s="9" t="s">
        <v>267</v>
      </c>
      <c r="L15" s="9" t="s">
        <v>267</v>
      </c>
      <c r="M15" s="9" t="s">
        <v>267</v>
      </c>
      <c r="N15" s="9" t="s">
        <v>267</v>
      </c>
      <c r="O15" s="9" t="s">
        <v>267</v>
      </c>
      <c r="P15" s="9" t="s">
        <v>267</v>
      </c>
      <c r="Q15" s="9" t="s">
        <v>267</v>
      </c>
      <c r="R15" s="9" t="s">
        <v>267</v>
      </c>
      <c r="S15" s="9" t="s">
        <v>267</v>
      </c>
      <c r="T15" s="9" t="s">
        <v>267</v>
      </c>
      <c r="U15" s="9" t="s">
        <v>267</v>
      </c>
      <c r="V15" s="9" t="s">
        <v>267</v>
      </c>
      <c r="W15" s="9" t="s">
        <v>267</v>
      </c>
      <c r="X15" s="9" t="s">
        <v>267</v>
      </c>
      <c r="Y15" s="9" t="s">
        <v>267</v>
      </c>
      <c r="Z15" s="9" t="s">
        <v>267</v>
      </c>
      <c r="AA15" s="9" t="s">
        <v>267</v>
      </c>
      <c r="AB15" s="9">
        <v>8.9529999999999994</v>
      </c>
      <c r="AC15" s="9" t="s">
        <v>267</v>
      </c>
      <c r="AD15" s="95" t="s">
        <v>267</v>
      </c>
      <c r="AE15" s="9" t="s">
        <v>267</v>
      </c>
      <c r="AF15" s="9" t="s">
        <v>267</v>
      </c>
      <c r="AG15" s="9" t="s">
        <v>267</v>
      </c>
      <c r="AH15" s="96" t="s">
        <v>267</v>
      </c>
      <c r="AI15" s="9"/>
      <c r="AJ15" s="9"/>
      <c r="AK15" s="9"/>
      <c r="AL15" s="9"/>
      <c r="AM15" s="95" t="s">
        <v>267</v>
      </c>
      <c r="AN15" s="9"/>
      <c r="AO15" s="96"/>
      <c r="AP15" s="9" t="s">
        <v>267</v>
      </c>
      <c r="AQ15" s="9" t="s">
        <v>267</v>
      </c>
      <c r="AR15" s="31" t="s">
        <v>267</v>
      </c>
    </row>
    <row r="16" spans="1:44" x14ac:dyDescent="0.3">
      <c r="A16" s="28" t="s">
        <v>100</v>
      </c>
      <c r="B16" s="9" t="s">
        <v>267</v>
      </c>
      <c r="C16" s="9" t="s">
        <v>267</v>
      </c>
      <c r="D16" s="9" t="s">
        <v>267</v>
      </c>
      <c r="E16" s="9" t="s">
        <v>267</v>
      </c>
      <c r="F16" s="9" t="s">
        <v>267</v>
      </c>
      <c r="G16" s="9" t="s">
        <v>267</v>
      </c>
      <c r="H16" s="9" t="s">
        <v>267</v>
      </c>
      <c r="I16" s="9" t="s">
        <v>267</v>
      </c>
      <c r="J16" s="9" t="s">
        <v>267</v>
      </c>
      <c r="K16" s="9" t="s">
        <v>267</v>
      </c>
      <c r="L16" s="9" t="s">
        <v>267</v>
      </c>
      <c r="M16" s="9" t="s">
        <v>267</v>
      </c>
      <c r="N16" s="9" t="s">
        <v>267</v>
      </c>
      <c r="O16" s="9" t="s">
        <v>267</v>
      </c>
      <c r="P16" s="9" t="s">
        <v>267</v>
      </c>
      <c r="Q16" s="9" t="s">
        <v>267</v>
      </c>
      <c r="R16" s="9" t="s">
        <v>267</v>
      </c>
      <c r="S16" s="9" t="s">
        <v>267</v>
      </c>
      <c r="T16" s="9" t="s">
        <v>267</v>
      </c>
      <c r="U16" s="9" t="s">
        <v>267</v>
      </c>
      <c r="V16" s="9" t="s">
        <v>267</v>
      </c>
      <c r="W16" s="9" t="s">
        <v>267</v>
      </c>
      <c r="X16" s="9" t="s">
        <v>267</v>
      </c>
      <c r="Y16" s="9" t="s">
        <v>267</v>
      </c>
      <c r="Z16" s="9" t="s">
        <v>267</v>
      </c>
      <c r="AA16" s="9" t="s">
        <v>267</v>
      </c>
      <c r="AB16" s="9">
        <v>1.2424999999999999</v>
      </c>
      <c r="AC16" s="9" t="s">
        <v>267</v>
      </c>
      <c r="AD16" s="95" t="s">
        <v>267</v>
      </c>
      <c r="AE16" s="9" t="s">
        <v>267</v>
      </c>
      <c r="AF16" s="9" t="s">
        <v>267</v>
      </c>
      <c r="AG16" s="9" t="s">
        <v>267</v>
      </c>
      <c r="AH16" s="96" t="s">
        <v>267</v>
      </c>
      <c r="AI16" s="9"/>
      <c r="AJ16" s="9"/>
      <c r="AK16" s="9"/>
      <c r="AL16" s="9"/>
      <c r="AM16" s="95" t="s">
        <v>267</v>
      </c>
      <c r="AN16" s="9"/>
      <c r="AO16" s="96"/>
      <c r="AP16" s="9" t="s">
        <v>267</v>
      </c>
      <c r="AQ16" s="9" t="s">
        <v>267</v>
      </c>
      <c r="AR16" s="31" t="s">
        <v>267</v>
      </c>
    </row>
    <row r="17" spans="1:44" x14ac:dyDescent="0.3">
      <c r="A17" s="58" t="s">
        <v>117</v>
      </c>
      <c r="B17" s="93" t="s">
        <v>267</v>
      </c>
      <c r="C17" s="93" t="s">
        <v>267</v>
      </c>
      <c r="D17" s="93"/>
      <c r="E17" s="93" t="s">
        <v>267</v>
      </c>
      <c r="F17" s="93" t="s">
        <v>267</v>
      </c>
      <c r="G17" s="93" t="s">
        <v>267</v>
      </c>
      <c r="H17" s="93" t="s">
        <v>267</v>
      </c>
      <c r="I17" s="93">
        <f>2*F4</f>
        <v>3.3694000000000002</v>
      </c>
      <c r="J17" s="93" t="s">
        <v>267</v>
      </c>
      <c r="K17" s="93" t="s">
        <v>267</v>
      </c>
      <c r="L17" s="93" t="s">
        <v>267</v>
      </c>
      <c r="M17" s="93" t="s">
        <v>267</v>
      </c>
      <c r="N17" s="93" t="s">
        <v>267</v>
      </c>
      <c r="O17" s="93" t="s">
        <v>267</v>
      </c>
      <c r="P17" s="93" t="s">
        <v>267</v>
      </c>
      <c r="Q17" s="93" t="s">
        <v>267</v>
      </c>
      <c r="R17" s="93" t="s">
        <v>267</v>
      </c>
      <c r="S17" s="93" t="s">
        <v>267</v>
      </c>
      <c r="T17" s="93" t="s">
        <v>267</v>
      </c>
      <c r="U17" s="93" t="s">
        <v>267</v>
      </c>
      <c r="V17" s="93" t="s">
        <v>267</v>
      </c>
      <c r="W17" s="93" t="s">
        <v>267</v>
      </c>
      <c r="X17" s="93" t="s">
        <v>267</v>
      </c>
      <c r="Y17" s="93" t="s">
        <v>267</v>
      </c>
      <c r="Z17" s="105" t="s">
        <v>267</v>
      </c>
      <c r="AA17" s="105" t="s">
        <v>267</v>
      </c>
      <c r="AB17" s="105" t="s">
        <v>267</v>
      </c>
      <c r="AC17" s="105" t="s">
        <v>267</v>
      </c>
      <c r="AD17" s="108" t="s">
        <v>267</v>
      </c>
      <c r="AE17" s="105" t="s">
        <v>267</v>
      </c>
      <c r="AF17" s="105" t="s">
        <v>267</v>
      </c>
      <c r="AG17" s="105" t="s">
        <v>267</v>
      </c>
      <c r="AH17" s="107" t="s">
        <v>267</v>
      </c>
      <c r="AI17" s="93"/>
      <c r="AJ17" s="93"/>
      <c r="AK17" s="93"/>
      <c r="AL17" s="93"/>
      <c r="AM17" s="92" t="s">
        <v>267</v>
      </c>
      <c r="AN17" s="105"/>
      <c r="AO17" s="107"/>
      <c r="AP17" s="105" t="s">
        <v>267</v>
      </c>
      <c r="AQ17" s="105" t="s">
        <v>267</v>
      </c>
      <c r="AR17" s="106" t="s">
        <v>267</v>
      </c>
    </row>
    <row r="18" spans="1:44" x14ac:dyDescent="0.3">
      <c r="A18" s="28" t="s">
        <v>118</v>
      </c>
      <c r="B18" s="9" t="s">
        <v>267</v>
      </c>
      <c r="C18" s="9" t="s">
        <v>267</v>
      </c>
      <c r="D18" s="9" t="s">
        <v>267</v>
      </c>
      <c r="E18" s="9" t="s">
        <v>267</v>
      </c>
      <c r="F18" s="9" t="s">
        <v>267</v>
      </c>
      <c r="G18" s="9" t="s">
        <v>267</v>
      </c>
      <c r="H18" s="9" t="s">
        <v>267</v>
      </c>
      <c r="I18" s="9" t="s">
        <v>267</v>
      </c>
      <c r="J18" s="9" t="s">
        <v>267</v>
      </c>
      <c r="K18" s="9"/>
      <c r="L18" s="9" t="s">
        <v>267</v>
      </c>
      <c r="M18" s="9" t="s">
        <v>267</v>
      </c>
      <c r="N18" s="9" t="s">
        <v>267</v>
      </c>
      <c r="O18" s="9" t="s">
        <v>267</v>
      </c>
      <c r="P18" s="9" t="s">
        <v>267</v>
      </c>
      <c r="Q18" s="9" t="s">
        <v>267</v>
      </c>
      <c r="R18" s="9">
        <v>2.0697000000000001</v>
      </c>
      <c r="S18" s="9" t="s">
        <v>267</v>
      </c>
      <c r="T18" s="9" t="s">
        <v>267</v>
      </c>
      <c r="U18" s="9" t="s">
        <v>267</v>
      </c>
      <c r="V18" s="9" t="s">
        <v>267</v>
      </c>
      <c r="W18" s="9" t="s">
        <v>267</v>
      </c>
      <c r="X18" s="9" t="s">
        <v>267</v>
      </c>
      <c r="Y18" s="9" t="s">
        <v>267</v>
      </c>
      <c r="Z18" s="32" t="s">
        <v>267</v>
      </c>
      <c r="AA18" s="32" t="s">
        <v>267</v>
      </c>
      <c r="AB18" s="32" t="s">
        <v>267</v>
      </c>
      <c r="AC18" s="32" t="s">
        <v>267</v>
      </c>
      <c r="AD18" s="109" t="s">
        <v>267</v>
      </c>
      <c r="AE18" s="32" t="s">
        <v>267</v>
      </c>
      <c r="AF18" s="32" t="s">
        <v>267</v>
      </c>
      <c r="AG18" s="32" t="s">
        <v>267</v>
      </c>
      <c r="AH18" s="89" t="s">
        <v>267</v>
      </c>
      <c r="AI18" s="9"/>
      <c r="AJ18" s="9"/>
      <c r="AK18" s="9"/>
      <c r="AL18" s="9"/>
      <c r="AM18" s="95" t="s">
        <v>267</v>
      </c>
      <c r="AN18" s="32"/>
      <c r="AO18" s="89"/>
      <c r="AP18" s="32" t="s">
        <v>267</v>
      </c>
      <c r="AQ18" s="32" t="s">
        <v>267</v>
      </c>
      <c r="AR18" s="34" t="s">
        <v>267</v>
      </c>
    </row>
    <row r="19" spans="1:44" x14ac:dyDescent="0.3">
      <c r="A19" s="83" t="s">
        <v>119</v>
      </c>
      <c r="B19" s="98" t="s">
        <v>267</v>
      </c>
      <c r="C19" s="98" t="s">
        <v>267</v>
      </c>
      <c r="D19" s="98" t="s">
        <v>267</v>
      </c>
      <c r="E19" s="98" t="s">
        <v>267</v>
      </c>
      <c r="F19" s="98" t="s">
        <v>267</v>
      </c>
      <c r="G19" s="98" t="s">
        <v>267</v>
      </c>
      <c r="H19" s="98" t="s">
        <v>267</v>
      </c>
      <c r="I19" s="98" t="s">
        <v>267</v>
      </c>
      <c r="J19" s="98" t="s">
        <v>267</v>
      </c>
      <c r="K19" s="98" t="s">
        <v>267</v>
      </c>
      <c r="L19" s="98" t="s">
        <v>267</v>
      </c>
      <c r="M19" s="98" t="s">
        <v>267</v>
      </c>
      <c r="N19" s="98" t="s">
        <v>267</v>
      </c>
      <c r="O19" s="98" t="s">
        <v>267</v>
      </c>
      <c r="P19" s="98" t="s">
        <v>267</v>
      </c>
      <c r="Q19" s="98" t="s">
        <v>267</v>
      </c>
      <c r="R19" s="98"/>
      <c r="S19" s="98" t="s">
        <v>267</v>
      </c>
      <c r="T19" s="98" t="s">
        <v>267</v>
      </c>
      <c r="U19" s="98" t="s">
        <v>267</v>
      </c>
      <c r="V19" s="98" t="s">
        <v>267</v>
      </c>
      <c r="W19" s="98" t="s">
        <v>267</v>
      </c>
      <c r="X19" s="98" t="s">
        <v>267</v>
      </c>
      <c r="Y19" s="98" t="s">
        <v>267</v>
      </c>
      <c r="Z19" s="98" t="s">
        <v>267</v>
      </c>
      <c r="AA19" s="98" t="s">
        <v>267</v>
      </c>
      <c r="AB19" s="98" t="s">
        <v>267</v>
      </c>
      <c r="AC19" s="98" t="s">
        <v>267</v>
      </c>
      <c r="AD19" s="97" t="s">
        <v>267</v>
      </c>
      <c r="AE19" s="98" t="s">
        <v>267</v>
      </c>
      <c r="AF19" s="98" t="s">
        <v>267</v>
      </c>
      <c r="AG19" s="98" t="s">
        <v>267</v>
      </c>
      <c r="AH19" s="99" t="s">
        <v>267</v>
      </c>
      <c r="AI19" s="98"/>
      <c r="AJ19" s="98"/>
      <c r="AK19" s="98"/>
      <c r="AL19" s="98"/>
      <c r="AM19" s="97" t="s">
        <v>267</v>
      </c>
      <c r="AN19" s="98"/>
      <c r="AO19" s="99"/>
      <c r="AP19" s="98" t="s">
        <v>267</v>
      </c>
      <c r="AQ19" s="98" t="s">
        <v>267</v>
      </c>
      <c r="AR19" s="102" t="s">
        <v>267</v>
      </c>
    </row>
    <row r="20" spans="1:44" x14ac:dyDescent="0.3">
      <c r="A20" s="28" t="s">
        <v>141</v>
      </c>
      <c r="B20" s="128" t="s">
        <v>267</v>
      </c>
      <c r="C20" s="128">
        <v>4.0752409775985399</v>
      </c>
      <c r="D20" s="9" t="s">
        <v>267</v>
      </c>
      <c r="E20" s="9" t="s">
        <v>267</v>
      </c>
      <c r="F20" s="9" t="s">
        <v>267</v>
      </c>
      <c r="G20" s="9" t="s">
        <v>267</v>
      </c>
      <c r="H20" s="9" t="s">
        <v>267</v>
      </c>
      <c r="I20" s="9" t="s">
        <v>267</v>
      </c>
      <c r="J20" s="9" t="s">
        <v>267</v>
      </c>
      <c r="K20" s="9" t="s">
        <v>267</v>
      </c>
      <c r="L20" s="9" t="s">
        <v>267</v>
      </c>
      <c r="M20" s="9" t="s">
        <v>267</v>
      </c>
      <c r="N20" s="9" t="s">
        <v>267</v>
      </c>
      <c r="O20" s="9" t="s">
        <v>267</v>
      </c>
      <c r="P20" s="9" t="s">
        <v>267</v>
      </c>
      <c r="Q20" s="9" t="s">
        <v>267</v>
      </c>
      <c r="R20" s="9" t="s">
        <v>267</v>
      </c>
      <c r="S20" s="9" t="s">
        <v>267</v>
      </c>
      <c r="T20" s="9" t="s">
        <v>267</v>
      </c>
      <c r="U20" s="9" t="s">
        <v>267</v>
      </c>
      <c r="V20" s="9" t="s">
        <v>267</v>
      </c>
      <c r="W20" s="9" t="s">
        <v>267</v>
      </c>
      <c r="X20" s="9" t="s">
        <v>267</v>
      </c>
      <c r="Y20" s="9" t="s">
        <v>267</v>
      </c>
      <c r="Z20" s="9" t="s">
        <v>267</v>
      </c>
      <c r="AA20" s="9" t="s">
        <v>267</v>
      </c>
      <c r="AB20" s="9" t="s">
        <v>267</v>
      </c>
      <c r="AC20" s="9" t="s">
        <v>267</v>
      </c>
      <c r="AD20" s="110">
        <v>4.1717000000000004</v>
      </c>
      <c r="AE20" s="9" t="s">
        <v>267</v>
      </c>
      <c r="AF20" s="9" t="s">
        <v>267</v>
      </c>
      <c r="AG20" s="9" t="s">
        <v>267</v>
      </c>
      <c r="AH20" s="96" t="s">
        <v>267</v>
      </c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128">
        <v>4.0752409775985399</v>
      </c>
      <c r="C21" s="128" t="s">
        <v>267</v>
      </c>
      <c r="D21" s="9">
        <v>8.2970000000000006</v>
      </c>
      <c r="E21" s="9" t="s">
        <v>267</v>
      </c>
      <c r="F21" s="9">
        <v>1.8142</v>
      </c>
      <c r="G21" s="9" t="s">
        <v>267</v>
      </c>
      <c r="H21" s="9" t="s">
        <v>267</v>
      </c>
      <c r="I21" s="9" t="s">
        <v>267</v>
      </c>
      <c r="J21" s="9" t="s">
        <v>267</v>
      </c>
      <c r="K21" s="9" t="s">
        <v>267</v>
      </c>
      <c r="L21" s="9" t="s">
        <v>267</v>
      </c>
      <c r="M21" s="9" t="s">
        <v>267</v>
      </c>
      <c r="N21" s="9" t="s">
        <v>267</v>
      </c>
      <c r="O21" s="9" t="s">
        <v>267</v>
      </c>
      <c r="P21" s="9" t="s">
        <v>267</v>
      </c>
      <c r="Q21" s="9" t="s">
        <v>267</v>
      </c>
      <c r="R21" s="9" t="s">
        <v>267</v>
      </c>
      <c r="S21" s="9" t="s">
        <v>267</v>
      </c>
      <c r="T21" s="9" t="s">
        <v>267</v>
      </c>
      <c r="U21" s="9" t="s">
        <v>267</v>
      </c>
      <c r="V21" s="9" t="s">
        <v>267</v>
      </c>
      <c r="W21" s="9" t="s">
        <v>267</v>
      </c>
      <c r="X21" s="9" t="s">
        <v>267</v>
      </c>
      <c r="Y21" s="9" t="s">
        <v>267</v>
      </c>
      <c r="Z21" s="9" t="s">
        <v>267</v>
      </c>
      <c r="AA21" s="9" t="s">
        <v>267</v>
      </c>
      <c r="AB21" s="9" t="s">
        <v>267</v>
      </c>
      <c r="AC21" s="9" t="s">
        <v>267</v>
      </c>
      <c r="AD21" s="95" t="s">
        <v>267</v>
      </c>
      <c r="AE21" s="9" t="s">
        <v>267</v>
      </c>
      <c r="AF21" s="9" t="s">
        <v>267</v>
      </c>
      <c r="AG21" s="9" t="s">
        <v>267</v>
      </c>
      <c r="AH21" s="96" t="s">
        <v>267</v>
      </c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 t="s">
        <v>267</v>
      </c>
      <c r="C22" s="9">
        <v>8.2970000000000006</v>
      </c>
      <c r="D22" s="9" t="s">
        <v>267</v>
      </c>
      <c r="E22" s="9">
        <v>8.3129999999999988</v>
      </c>
      <c r="F22" s="9" t="s">
        <v>267</v>
      </c>
      <c r="G22" s="9" t="s">
        <v>267</v>
      </c>
      <c r="H22" s="9" t="s">
        <v>267</v>
      </c>
      <c r="I22" s="9" t="s">
        <v>267</v>
      </c>
      <c r="J22" s="9" t="s">
        <v>267</v>
      </c>
      <c r="K22" s="9" t="s">
        <v>267</v>
      </c>
      <c r="L22" s="9" t="s">
        <v>267</v>
      </c>
      <c r="M22" s="9" t="s">
        <v>267</v>
      </c>
      <c r="N22" s="9" t="s">
        <v>267</v>
      </c>
      <c r="O22" s="9" t="s">
        <v>267</v>
      </c>
      <c r="P22" s="9" t="s">
        <v>267</v>
      </c>
      <c r="Q22" s="9" t="s">
        <v>267</v>
      </c>
      <c r="R22" s="9" t="s">
        <v>267</v>
      </c>
      <c r="S22" s="9" t="s">
        <v>267</v>
      </c>
      <c r="T22" s="9" t="s">
        <v>267</v>
      </c>
      <c r="U22" s="9" t="s">
        <v>267</v>
      </c>
      <c r="V22" s="9" t="s">
        <v>267</v>
      </c>
      <c r="W22" s="9" t="s">
        <v>267</v>
      </c>
      <c r="X22" s="9" t="s">
        <v>267</v>
      </c>
      <c r="Y22" s="9" t="s">
        <v>267</v>
      </c>
      <c r="Z22" s="9" t="s">
        <v>267</v>
      </c>
      <c r="AA22" s="9" t="s">
        <v>267</v>
      </c>
      <c r="AB22" s="9" t="s">
        <v>267</v>
      </c>
      <c r="AC22" s="9" t="s">
        <v>267</v>
      </c>
      <c r="AD22" s="95" t="s">
        <v>267</v>
      </c>
      <c r="AE22" s="9" t="s">
        <v>267</v>
      </c>
      <c r="AF22" s="9" t="s">
        <v>267</v>
      </c>
      <c r="AG22" s="9" t="s">
        <v>267</v>
      </c>
      <c r="AH22" s="96" t="s">
        <v>267</v>
      </c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 t="s">
        <v>267</v>
      </c>
      <c r="C23" s="9" t="s">
        <v>267</v>
      </c>
      <c r="D23" s="9">
        <v>8.3129999999999988</v>
      </c>
      <c r="E23" s="9" t="s">
        <v>267</v>
      </c>
      <c r="F23" s="9" t="s">
        <v>267</v>
      </c>
      <c r="G23" s="9">
        <v>1.2533000000000001</v>
      </c>
      <c r="H23" s="9" t="s">
        <v>267</v>
      </c>
      <c r="I23" s="9" t="s">
        <v>267</v>
      </c>
      <c r="J23" s="9" t="s">
        <v>267</v>
      </c>
      <c r="K23" s="9" t="s">
        <v>267</v>
      </c>
      <c r="L23" s="9" t="s">
        <v>267</v>
      </c>
      <c r="M23" s="9" t="s">
        <v>267</v>
      </c>
      <c r="N23" s="9" t="s">
        <v>267</v>
      </c>
      <c r="O23" s="9" t="s">
        <v>267</v>
      </c>
      <c r="P23" s="9" t="s">
        <v>267</v>
      </c>
      <c r="Q23" s="9" t="s">
        <v>267</v>
      </c>
      <c r="R23" s="9" t="s">
        <v>267</v>
      </c>
      <c r="S23" s="9" t="s">
        <v>267</v>
      </c>
      <c r="T23" s="9" t="s">
        <v>267</v>
      </c>
      <c r="U23" s="9" t="s">
        <v>267</v>
      </c>
      <c r="V23" s="9" t="s">
        <v>267</v>
      </c>
      <c r="W23" s="9" t="s">
        <v>267</v>
      </c>
      <c r="X23" s="9" t="s">
        <v>267</v>
      </c>
      <c r="Y23" s="9" t="s">
        <v>267</v>
      </c>
      <c r="Z23" s="9" t="s">
        <v>267</v>
      </c>
      <c r="AA23" s="9" t="s">
        <v>267</v>
      </c>
      <c r="AB23" s="9" t="s">
        <v>267</v>
      </c>
      <c r="AC23" s="9" t="s">
        <v>267</v>
      </c>
      <c r="AD23" s="95" t="s">
        <v>267</v>
      </c>
      <c r="AE23" s="9">
        <v>1.3163</v>
      </c>
      <c r="AF23" s="9" t="s">
        <v>267</v>
      </c>
      <c r="AG23" s="9" t="s">
        <v>267</v>
      </c>
      <c r="AH23" s="96" t="s">
        <v>267</v>
      </c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 t="s">
        <v>267</v>
      </c>
      <c r="C24" s="128">
        <v>1.8142</v>
      </c>
      <c r="D24" s="9" t="s">
        <v>267</v>
      </c>
      <c r="E24" s="9" t="s">
        <v>267</v>
      </c>
      <c r="F24" s="9" t="s">
        <v>267</v>
      </c>
      <c r="G24" s="9" t="s">
        <v>267</v>
      </c>
      <c r="H24" s="9" t="s">
        <v>267</v>
      </c>
      <c r="I24" s="9">
        <v>1.4431</v>
      </c>
      <c r="J24" s="9" t="s">
        <v>267</v>
      </c>
      <c r="K24" s="9" t="s">
        <v>267</v>
      </c>
      <c r="L24" s="9" t="s">
        <v>267</v>
      </c>
      <c r="M24" s="9" t="s">
        <v>267</v>
      </c>
      <c r="N24" s="9" t="s">
        <v>267</v>
      </c>
      <c r="O24" s="9" t="s">
        <v>267</v>
      </c>
      <c r="P24" s="9" t="s">
        <v>267</v>
      </c>
      <c r="Q24" s="9" t="s">
        <v>267</v>
      </c>
      <c r="R24" s="9" t="s">
        <v>267</v>
      </c>
      <c r="S24" s="9" t="s">
        <v>267</v>
      </c>
      <c r="T24" s="9" t="s">
        <v>267</v>
      </c>
      <c r="U24" s="9" t="s">
        <v>267</v>
      </c>
      <c r="V24" s="9" t="s">
        <v>267</v>
      </c>
      <c r="W24" s="9" t="s">
        <v>267</v>
      </c>
      <c r="X24" s="9" t="s">
        <v>267</v>
      </c>
      <c r="Y24" s="9" t="s">
        <v>267</v>
      </c>
      <c r="Z24" s="9" t="s">
        <v>267</v>
      </c>
      <c r="AA24" s="9" t="s">
        <v>267</v>
      </c>
      <c r="AB24" s="9" t="s">
        <v>267</v>
      </c>
      <c r="AC24" s="9" t="s">
        <v>267</v>
      </c>
      <c r="AD24" s="95" t="s">
        <v>267</v>
      </c>
      <c r="AE24" s="9" t="s">
        <v>267</v>
      </c>
      <c r="AF24" s="9" t="s">
        <v>267</v>
      </c>
      <c r="AG24" s="9" t="s">
        <v>267</v>
      </c>
      <c r="AH24" s="96" t="s">
        <v>267</v>
      </c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 t="s">
        <v>267</v>
      </c>
      <c r="C25" s="9" t="s">
        <v>267</v>
      </c>
      <c r="D25" s="9" t="s">
        <v>267</v>
      </c>
      <c r="E25" s="9">
        <v>1.2533000000000001</v>
      </c>
      <c r="F25" s="9" t="s">
        <v>267</v>
      </c>
      <c r="G25" s="9" t="s">
        <v>267</v>
      </c>
      <c r="H25" s="9">
        <v>1.153</v>
      </c>
      <c r="I25" s="9" t="s">
        <v>267</v>
      </c>
      <c r="J25" s="9" t="s">
        <v>267</v>
      </c>
      <c r="K25" s="9" t="s">
        <v>267</v>
      </c>
      <c r="L25" s="9" t="s">
        <v>267</v>
      </c>
      <c r="M25" s="9" t="s">
        <v>267</v>
      </c>
      <c r="N25" s="9" t="s">
        <v>267</v>
      </c>
      <c r="O25" s="9" t="s">
        <v>267</v>
      </c>
      <c r="P25" s="9" t="s">
        <v>267</v>
      </c>
      <c r="Q25" s="9" t="s">
        <v>267</v>
      </c>
      <c r="R25" s="9" t="s">
        <v>267</v>
      </c>
      <c r="S25" s="9" t="s">
        <v>267</v>
      </c>
      <c r="T25" s="9" t="s">
        <v>267</v>
      </c>
      <c r="U25" s="9" t="s">
        <v>267</v>
      </c>
      <c r="V25" s="9" t="s">
        <v>267</v>
      </c>
      <c r="W25" s="9" t="s">
        <v>267</v>
      </c>
      <c r="X25" s="9" t="s">
        <v>267</v>
      </c>
      <c r="Y25" s="9" t="s">
        <v>267</v>
      </c>
      <c r="Z25" s="9" t="s">
        <v>267</v>
      </c>
      <c r="AA25" s="9" t="s">
        <v>267</v>
      </c>
      <c r="AB25" s="9" t="s">
        <v>267</v>
      </c>
      <c r="AC25" s="9" t="s">
        <v>267</v>
      </c>
      <c r="AD25" s="95" t="s">
        <v>267</v>
      </c>
      <c r="AE25" s="9" t="s">
        <v>267</v>
      </c>
      <c r="AF25" s="9" t="s">
        <v>267</v>
      </c>
      <c r="AG25" s="9" t="s">
        <v>267</v>
      </c>
      <c r="AH25" s="96" t="s">
        <v>267</v>
      </c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 t="s">
        <v>267</v>
      </c>
      <c r="C26" s="9" t="s">
        <v>267</v>
      </c>
      <c r="D26" s="9" t="s">
        <v>267</v>
      </c>
      <c r="E26" s="9" t="s">
        <v>267</v>
      </c>
      <c r="F26" s="9" t="s">
        <v>267</v>
      </c>
      <c r="G26" s="9">
        <v>1.153</v>
      </c>
      <c r="H26" s="9" t="s">
        <v>267</v>
      </c>
      <c r="I26" s="9">
        <v>6.0780000000000003</v>
      </c>
      <c r="J26" s="9">
        <v>2.4449000000000001</v>
      </c>
      <c r="K26" s="9" t="s">
        <v>267</v>
      </c>
      <c r="L26" s="9" t="s">
        <v>267</v>
      </c>
      <c r="M26" s="9" t="s">
        <v>267</v>
      </c>
      <c r="N26" s="9" t="s">
        <v>267</v>
      </c>
      <c r="O26" s="9" t="s">
        <v>267</v>
      </c>
      <c r="P26" s="9" t="s">
        <v>267</v>
      </c>
      <c r="Q26" s="9" t="s">
        <v>267</v>
      </c>
      <c r="R26" s="9" t="s">
        <v>267</v>
      </c>
      <c r="S26" s="9" t="s">
        <v>267</v>
      </c>
      <c r="T26" s="9" t="s">
        <v>267</v>
      </c>
      <c r="U26" s="9" t="s">
        <v>267</v>
      </c>
      <c r="V26" s="9" t="s">
        <v>267</v>
      </c>
      <c r="W26" s="9" t="s">
        <v>267</v>
      </c>
      <c r="X26" s="9" t="s">
        <v>267</v>
      </c>
      <c r="Y26" s="9" t="s">
        <v>267</v>
      </c>
      <c r="Z26" s="9" t="s">
        <v>267</v>
      </c>
      <c r="AA26" s="9" t="s">
        <v>267</v>
      </c>
      <c r="AB26" s="9" t="s">
        <v>267</v>
      </c>
      <c r="AC26" s="9" t="s">
        <v>267</v>
      </c>
      <c r="AD26" s="95" t="s">
        <v>267</v>
      </c>
      <c r="AE26" s="9" t="s">
        <v>267</v>
      </c>
      <c r="AF26" s="9" t="s">
        <v>267</v>
      </c>
      <c r="AG26" s="9" t="s">
        <v>267</v>
      </c>
      <c r="AH26" s="96" t="s">
        <v>267</v>
      </c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 t="s">
        <v>267</v>
      </c>
      <c r="C27" s="9" t="s">
        <v>267</v>
      </c>
      <c r="D27" s="9" t="s">
        <v>267</v>
      </c>
      <c r="E27" s="9" t="s">
        <v>267</v>
      </c>
      <c r="F27" s="9">
        <v>1.4431</v>
      </c>
      <c r="G27" s="9" t="s">
        <v>267</v>
      </c>
      <c r="H27" s="9">
        <v>6.0780000000000003</v>
      </c>
      <c r="I27" s="9" t="s">
        <v>267</v>
      </c>
      <c r="J27" s="9" t="s">
        <v>267</v>
      </c>
      <c r="K27" s="9" t="s">
        <v>267</v>
      </c>
      <c r="L27" s="9" t="s">
        <v>267</v>
      </c>
      <c r="M27" s="9" t="s">
        <v>267</v>
      </c>
      <c r="N27" s="9" t="s">
        <v>267</v>
      </c>
      <c r="O27" s="9" t="s">
        <v>267</v>
      </c>
      <c r="P27" s="9" t="s">
        <v>267</v>
      </c>
      <c r="Q27" s="9" t="s">
        <v>267</v>
      </c>
      <c r="R27" s="9" t="s">
        <v>267</v>
      </c>
      <c r="S27" s="9" t="s">
        <v>267</v>
      </c>
      <c r="T27" s="9" t="s">
        <v>267</v>
      </c>
      <c r="U27" s="9" t="s">
        <v>267</v>
      </c>
      <c r="V27" s="9" t="s">
        <v>267</v>
      </c>
      <c r="W27" s="9" t="s">
        <v>267</v>
      </c>
      <c r="X27" s="9" t="s">
        <v>267</v>
      </c>
      <c r="Y27" s="9" t="s">
        <v>267</v>
      </c>
      <c r="Z27" s="9" t="s">
        <v>267</v>
      </c>
      <c r="AA27" s="9" t="s">
        <v>267</v>
      </c>
      <c r="AB27" s="9" t="s">
        <v>267</v>
      </c>
      <c r="AC27" s="9" t="s">
        <v>267</v>
      </c>
      <c r="AD27" s="95" t="s">
        <v>267</v>
      </c>
      <c r="AE27" s="9" t="s">
        <v>267</v>
      </c>
      <c r="AF27" s="9" t="s">
        <v>267</v>
      </c>
      <c r="AG27" s="9" t="s">
        <v>267</v>
      </c>
      <c r="AH27" s="96" t="s">
        <v>267</v>
      </c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 t="s">
        <v>267</v>
      </c>
      <c r="C28" s="9" t="s">
        <v>267</v>
      </c>
      <c r="D28" s="9" t="s">
        <v>267</v>
      </c>
      <c r="E28" s="9" t="s">
        <v>267</v>
      </c>
      <c r="F28" s="9" t="s">
        <v>267</v>
      </c>
      <c r="G28" s="9" t="s">
        <v>267</v>
      </c>
      <c r="H28" s="9">
        <v>2.4449000000000001</v>
      </c>
      <c r="I28" s="9" t="s">
        <v>267</v>
      </c>
      <c r="J28" s="9" t="s">
        <v>267</v>
      </c>
      <c r="K28" s="9">
        <v>3.2</v>
      </c>
      <c r="L28" s="9">
        <v>3.8851</v>
      </c>
      <c r="M28" s="9" t="s">
        <v>267</v>
      </c>
      <c r="N28" s="9" t="s">
        <v>267</v>
      </c>
      <c r="O28" s="9" t="s">
        <v>267</v>
      </c>
      <c r="P28" s="9" t="s">
        <v>267</v>
      </c>
      <c r="Q28" s="9" t="s">
        <v>267</v>
      </c>
      <c r="R28" s="9" t="s">
        <v>267</v>
      </c>
      <c r="S28" s="9" t="s">
        <v>267</v>
      </c>
      <c r="T28" s="9" t="s">
        <v>267</v>
      </c>
      <c r="U28" s="9" t="s">
        <v>267</v>
      </c>
      <c r="V28" s="9" t="s">
        <v>267</v>
      </c>
      <c r="W28" s="9" t="s">
        <v>267</v>
      </c>
      <c r="X28" s="9" t="s">
        <v>267</v>
      </c>
      <c r="Y28" s="9" t="s">
        <v>267</v>
      </c>
      <c r="Z28" s="9" t="s">
        <v>267</v>
      </c>
      <c r="AA28" s="9" t="s">
        <v>267</v>
      </c>
      <c r="AB28" s="9" t="s">
        <v>267</v>
      </c>
      <c r="AC28" s="9" t="s">
        <v>267</v>
      </c>
      <c r="AD28" s="95" t="s">
        <v>267</v>
      </c>
      <c r="AE28" s="9" t="s">
        <v>267</v>
      </c>
      <c r="AF28" s="9" t="s">
        <v>267</v>
      </c>
      <c r="AG28" s="9" t="s">
        <v>267</v>
      </c>
      <c r="AH28" s="96" t="s">
        <v>267</v>
      </c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 t="s">
        <v>267</v>
      </c>
      <c r="C29" s="9" t="s">
        <v>267</v>
      </c>
      <c r="D29" s="9" t="s">
        <v>267</v>
      </c>
      <c r="E29" s="9" t="s">
        <v>267</v>
      </c>
      <c r="F29" s="9" t="s">
        <v>267</v>
      </c>
      <c r="G29" s="9" t="s">
        <v>267</v>
      </c>
      <c r="H29" s="9" t="s">
        <v>267</v>
      </c>
      <c r="I29" s="9" t="s">
        <v>267</v>
      </c>
      <c r="J29" s="9">
        <v>3.2</v>
      </c>
      <c r="K29" s="9" t="s">
        <v>267</v>
      </c>
      <c r="L29" s="9" t="s">
        <v>267</v>
      </c>
      <c r="M29" s="9"/>
      <c r="N29" s="9" t="s">
        <v>267</v>
      </c>
      <c r="O29" s="9" t="s">
        <v>267</v>
      </c>
      <c r="P29" s="9" t="s">
        <v>267</v>
      </c>
      <c r="Q29" s="9" t="s">
        <v>267</v>
      </c>
      <c r="R29" s="9" t="s">
        <v>267</v>
      </c>
      <c r="S29" s="9" t="s">
        <v>267</v>
      </c>
      <c r="T29" s="9" t="s">
        <v>267</v>
      </c>
      <c r="U29" s="9" t="s">
        <v>267</v>
      </c>
      <c r="V29" s="9" t="s">
        <v>267</v>
      </c>
      <c r="W29" s="9" t="s">
        <v>267</v>
      </c>
      <c r="X29" s="9" t="s">
        <v>267</v>
      </c>
      <c r="Y29" s="9" t="s">
        <v>267</v>
      </c>
      <c r="Z29" s="9" t="s">
        <v>267</v>
      </c>
      <c r="AA29" s="9" t="s">
        <v>267</v>
      </c>
      <c r="AB29" s="9" t="s">
        <v>267</v>
      </c>
      <c r="AC29" s="9" t="s">
        <v>267</v>
      </c>
      <c r="AD29" s="95" t="s">
        <v>267</v>
      </c>
      <c r="AE29" s="9" t="s">
        <v>267</v>
      </c>
      <c r="AF29" s="9" t="s">
        <v>267</v>
      </c>
      <c r="AG29" s="9" t="s">
        <v>267</v>
      </c>
      <c r="AH29" s="96" t="s">
        <v>267</v>
      </c>
      <c r="AI29" s="9">
        <v>2.5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 t="s">
        <v>267</v>
      </c>
      <c r="C30" s="9" t="s">
        <v>267</v>
      </c>
      <c r="D30" s="9" t="s">
        <v>267</v>
      </c>
      <c r="E30" s="9" t="s">
        <v>267</v>
      </c>
      <c r="F30" s="9" t="s">
        <v>267</v>
      </c>
      <c r="G30" s="9" t="s">
        <v>267</v>
      </c>
      <c r="H30" s="9" t="s">
        <v>267</v>
      </c>
      <c r="I30" s="9" t="s">
        <v>267</v>
      </c>
      <c r="J30" s="9">
        <v>3.8851</v>
      </c>
      <c r="K30" s="9" t="s">
        <v>267</v>
      </c>
      <c r="L30" s="9" t="s">
        <v>267</v>
      </c>
      <c r="M30" s="9" t="s">
        <v>267</v>
      </c>
      <c r="N30" s="9">
        <v>2.6429999999999998</v>
      </c>
      <c r="O30" s="9" t="s">
        <v>267</v>
      </c>
      <c r="P30" s="9" t="s">
        <v>267</v>
      </c>
      <c r="Q30" s="9" t="s">
        <v>267</v>
      </c>
      <c r="R30" s="9" t="s">
        <v>267</v>
      </c>
      <c r="S30" s="9" t="s">
        <v>267</v>
      </c>
      <c r="T30" s="9" t="s">
        <v>267</v>
      </c>
      <c r="U30" s="9" t="s">
        <v>267</v>
      </c>
      <c r="V30" s="9" t="s">
        <v>267</v>
      </c>
      <c r="W30" s="9" t="s">
        <v>267</v>
      </c>
      <c r="X30" s="9" t="s">
        <v>267</v>
      </c>
      <c r="Y30" s="9" t="s">
        <v>267</v>
      </c>
      <c r="Z30" s="9" t="s">
        <v>267</v>
      </c>
      <c r="AA30" s="9" t="s">
        <v>267</v>
      </c>
      <c r="AB30" s="9" t="s">
        <v>267</v>
      </c>
      <c r="AC30" s="9" t="s">
        <v>267</v>
      </c>
      <c r="AD30" s="95" t="s">
        <v>267</v>
      </c>
      <c r="AE30" s="9" t="s">
        <v>267</v>
      </c>
      <c r="AF30" s="9" t="s">
        <v>267</v>
      </c>
      <c r="AG30" s="9" t="s">
        <v>267</v>
      </c>
      <c r="AH30" s="96" t="s">
        <v>267</v>
      </c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 t="s">
        <v>267</v>
      </c>
      <c r="C31" s="9" t="s">
        <v>267</v>
      </c>
      <c r="D31" s="9" t="s">
        <v>267</v>
      </c>
      <c r="E31" s="9" t="s">
        <v>267</v>
      </c>
      <c r="F31" s="9" t="s">
        <v>267</v>
      </c>
      <c r="G31" s="9" t="s">
        <v>267</v>
      </c>
      <c r="H31" s="9" t="s">
        <v>267</v>
      </c>
      <c r="I31" s="9" t="s">
        <v>267</v>
      </c>
      <c r="J31" s="9" t="s">
        <v>267</v>
      </c>
      <c r="K31" s="9"/>
      <c r="L31" s="9" t="s">
        <v>267</v>
      </c>
      <c r="M31" s="9" t="s">
        <v>267</v>
      </c>
      <c r="N31" s="9" t="s">
        <v>267</v>
      </c>
      <c r="O31" s="9">
        <v>5.3</v>
      </c>
      <c r="P31" s="9" t="s">
        <v>267</v>
      </c>
      <c r="Q31" s="9" t="s">
        <v>267</v>
      </c>
      <c r="R31" s="9" t="s">
        <v>267</v>
      </c>
      <c r="S31" s="9" t="s">
        <v>267</v>
      </c>
      <c r="T31" s="9" t="s">
        <v>267</v>
      </c>
      <c r="U31" s="9" t="s">
        <v>267</v>
      </c>
      <c r="V31" s="9" t="s">
        <v>267</v>
      </c>
      <c r="W31" s="9" t="s">
        <v>267</v>
      </c>
      <c r="X31" s="9" t="s">
        <v>267</v>
      </c>
      <c r="Y31" s="9" t="s">
        <v>267</v>
      </c>
      <c r="Z31" s="9" t="s">
        <v>267</v>
      </c>
      <c r="AA31" s="9" t="s">
        <v>267</v>
      </c>
      <c r="AB31" s="9" t="s">
        <v>267</v>
      </c>
      <c r="AC31" s="9" t="s">
        <v>267</v>
      </c>
      <c r="AD31" s="95" t="s">
        <v>267</v>
      </c>
      <c r="AE31" s="9" t="s">
        <v>267</v>
      </c>
      <c r="AF31" s="9" t="s">
        <v>267</v>
      </c>
      <c r="AG31" s="9" t="s">
        <v>267</v>
      </c>
      <c r="AH31" s="96" t="s">
        <v>267</v>
      </c>
      <c r="AI31" s="9"/>
      <c r="AJ31" s="9">
        <v>1.5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 t="s">
        <v>267</v>
      </c>
      <c r="C32" s="9" t="s">
        <v>267</v>
      </c>
      <c r="D32" s="9" t="s">
        <v>267</v>
      </c>
      <c r="E32" s="9" t="s">
        <v>267</v>
      </c>
      <c r="F32" s="9" t="s">
        <v>267</v>
      </c>
      <c r="G32" s="9" t="s">
        <v>267</v>
      </c>
      <c r="H32" s="9" t="s">
        <v>267</v>
      </c>
      <c r="I32" s="9" t="s">
        <v>267</v>
      </c>
      <c r="J32" s="9" t="s">
        <v>267</v>
      </c>
      <c r="K32" s="9" t="s">
        <v>267</v>
      </c>
      <c r="L32" s="9">
        <v>2.6429999999999998</v>
      </c>
      <c r="M32" s="9" t="s">
        <v>267</v>
      </c>
      <c r="N32" s="9" t="s">
        <v>267</v>
      </c>
      <c r="O32" s="9">
        <v>3.1087656701677102</v>
      </c>
      <c r="P32" s="9" t="s">
        <v>267</v>
      </c>
      <c r="Q32" s="9" t="s">
        <v>267</v>
      </c>
      <c r="R32" s="9" t="s">
        <v>267</v>
      </c>
      <c r="S32" s="9" t="s">
        <v>267</v>
      </c>
      <c r="T32" s="9" t="s">
        <v>267</v>
      </c>
      <c r="U32" s="9" t="s">
        <v>267</v>
      </c>
      <c r="V32" s="9" t="s">
        <v>267</v>
      </c>
      <c r="W32" s="9" t="s">
        <v>267</v>
      </c>
      <c r="X32" s="9" t="s">
        <v>267</v>
      </c>
      <c r="Y32" s="9" t="s">
        <v>267</v>
      </c>
      <c r="Z32" s="9" t="s">
        <v>267</v>
      </c>
      <c r="AA32" s="9" t="s">
        <v>267</v>
      </c>
      <c r="AB32" s="9" t="s">
        <v>267</v>
      </c>
      <c r="AC32" s="9" t="s">
        <v>267</v>
      </c>
      <c r="AD32" s="95" t="s">
        <v>267</v>
      </c>
      <c r="AE32" s="9" t="s">
        <v>267</v>
      </c>
      <c r="AF32" s="9">
        <v>3.0184000000000002</v>
      </c>
      <c r="AG32" s="9" t="s">
        <v>267</v>
      </c>
      <c r="AH32" s="96" t="s">
        <v>267</v>
      </c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 t="s">
        <v>267</v>
      </c>
      <c r="C33" s="9" t="s">
        <v>267</v>
      </c>
      <c r="D33" s="9" t="s">
        <v>267</v>
      </c>
      <c r="E33" s="9" t="s">
        <v>267</v>
      </c>
      <c r="F33" s="9" t="s">
        <v>267</v>
      </c>
      <c r="G33" s="9" t="s">
        <v>267</v>
      </c>
      <c r="H33" s="9" t="s">
        <v>267</v>
      </c>
      <c r="I33" s="9" t="s">
        <v>267</v>
      </c>
      <c r="J33" s="9" t="s">
        <v>267</v>
      </c>
      <c r="K33" s="9" t="s">
        <v>267</v>
      </c>
      <c r="L33" s="9" t="s">
        <v>267</v>
      </c>
      <c r="M33" s="9">
        <v>5.3</v>
      </c>
      <c r="N33" s="9">
        <v>3.1087656701677102</v>
      </c>
      <c r="O33" s="9" t="s">
        <v>267</v>
      </c>
      <c r="P33" s="9" t="s">
        <v>267</v>
      </c>
      <c r="Q33" s="9" t="s">
        <v>267</v>
      </c>
      <c r="R33" s="9" t="s">
        <v>267</v>
      </c>
      <c r="S33" s="9" t="s">
        <v>267</v>
      </c>
      <c r="T33" s="9" t="s">
        <v>267</v>
      </c>
      <c r="U33" s="9" t="s">
        <v>267</v>
      </c>
      <c r="V33" s="9" t="s">
        <v>267</v>
      </c>
      <c r="W33" s="9" t="s">
        <v>267</v>
      </c>
      <c r="X33" s="9" t="s">
        <v>267</v>
      </c>
      <c r="Y33" s="9" t="s">
        <v>267</v>
      </c>
      <c r="Z33" s="9" t="s">
        <v>267</v>
      </c>
      <c r="AA33" s="9" t="s">
        <v>267</v>
      </c>
      <c r="AB33" s="9" t="s">
        <v>267</v>
      </c>
      <c r="AC33" s="9">
        <v>1.3958999999999999</v>
      </c>
      <c r="AD33" s="95" t="s">
        <v>267</v>
      </c>
      <c r="AE33" s="9" t="s">
        <v>267</v>
      </c>
      <c r="AF33" s="9" t="s">
        <v>267</v>
      </c>
      <c r="AG33" s="9" t="s">
        <v>267</v>
      </c>
      <c r="AH33" s="96" t="s">
        <v>267</v>
      </c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 t="s">
        <v>267</v>
      </c>
      <c r="C34" s="9" t="s">
        <v>267</v>
      </c>
      <c r="D34" s="9" t="s">
        <v>267</v>
      </c>
      <c r="E34" s="9" t="s">
        <v>267</v>
      </c>
      <c r="F34" s="9" t="s">
        <v>267</v>
      </c>
      <c r="G34" s="9" t="s">
        <v>267</v>
      </c>
      <c r="H34" s="9" t="s">
        <v>267</v>
      </c>
      <c r="I34" s="9" t="s">
        <v>267</v>
      </c>
      <c r="J34" s="9" t="s">
        <v>267</v>
      </c>
      <c r="K34" s="9" t="s">
        <v>267</v>
      </c>
      <c r="L34" s="9" t="s">
        <v>267</v>
      </c>
      <c r="M34" s="9" t="s">
        <v>267</v>
      </c>
      <c r="N34" s="9" t="s">
        <v>267</v>
      </c>
      <c r="O34" s="9" t="s">
        <v>267</v>
      </c>
      <c r="P34" s="9" t="s">
        <v>267</v>
      </c>
      <c r="Q34" s="9">
        <v>1.3553999999999999</v>
      </c>
      <c r="R34" s="9" t="s">
        <v>267</v>
      </c>
      <c r="S34" s="9" t="s">
        <v>267</v>
      </c>
      <c r="T34" s="9" t="s">
        <v>267</v>
      </c>
      <c r="U34" s="9" t="s">
        <v>267</v>
      </c>
      <c r="V34" s="9" t="s">
        <v>267</v>
      </c>
      <c r="W34" s="9" t="s">
        <v>267</v>
      </c>
      <c r="X34" s="9" t="s">
        <v>267</v>
      </c>
      <c r="Y34" s="9" t="s">
        <v>267</v>
      </c>
      <c r="Z34" s="9" t="s">
        <v>267</v>
      </c>
      <c r="AA34" s="9" t="s">
        <v>267</v>
      </c>
      <c r="AB34" s="9" t="s">
        <v>267</v>
      </c>
      <c r="AC34" s="9">
        <v>7.1440000000000001</v>
      </c>
      <c r="AD34" s="95" t="s">
        <v>267</v>
      </c>
      <c r="AE34" s="9" t="s">
        <v>267</v>
      </c>
      <c r="AF34" s="9" t="s">
        <v>267</v>
      </c>
      <c r="AG34" s="9" t="s">
        <v>267</v>
      </c>
      <c r="AH34" s="96" t="s">
        <v>267</v>
      </c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 t="s">
        <v>267</v>
      </c>
      <c r="C35" s="9" t="s">
        <v>267</v>
      </c>
      <c r="D35" s="9" t="s">
        <v>267</v>
      </c>
      <c r="E35" s="9" t="s">
        <v>267</v>
      </c>
      <c r="F35" s="9" t="s">
        <v>267</v>
      </c>
      <c r="G35" s="9" t="s">
        <v>267</v>
      </c>
      <c r="H35" s="9" t="s">
        <v>267</v>
      </c>
      <c r="I35" s="9" t="s">
        <v>267</v>
      </c>
      <c r="J35" s="9" t="s">
        <v>267</v>
      </c>
      <c r="K35" s="9" t="s">
        <v>267</v>
      </c>
      <c r="L35" s="9" t="s">
        <v>267</v>
      </c>
      <c r="M35" s="9" t="s">
        <v>267</v>
      </c>
      <c r="N35" s="9" t="s">
        <v>267</v>
      </c>
      <c r="O35" s="9" t="s">
        <v>267</v>
      </c>
      <c r="P35" s="9">
        <v>1.3553999999999999</v>
      </c>
      <c r="Q35" s="9" t="s">
        <v>267</v>
      </c>
      <c r="R35" s="9">
        <v>3.2003367068383</v>
      </c>
      <c r="S35" s="9" t="s">
        <v>267</v>
      </c>
      <c r="T35" s="9" t="s">
        <v>267</v>
      </c>
      <c r="U35" s="9" t="s">
        <v>267</v>
      </c>
      <c r="V35" s="9" t="s">
        <v>267</v>
      </c>
      <c r="W35" s="9" t="s">
        <v>267</v>
      </c>
      <c r="X35" s="9" t="s">
        <v>267</v>
      </c>
      <c r="Y35" s="9" t="s">
        <v>267</v>
      </c>
      <c r="Z35" s="9" t="s">
        <v>267</v>
      </c>
      <c r="AA35" s="9" t="s">
        <v>267</v>
      </c>
      <c r="AB35" s="9" t="s">
        <v>267</v>
      </c>
      <c r="AC35" s="9" t="s">
        <v>267</v>
      </c>
      <c r="AD35" s="95" t="s">
        <v>267</v>
      </c>
      <c r="AE35" s="9" t="s">
        <v>267</v>
      </c>
      <c r="AF35" s="9" t="s">
        <v>267</v>
      </c>
      <c r="AG35" s="9" t="s">
        <v>267</v>
      </c>
      <c r="AH35" s="96" t="s">
        <v>267</v>
      </c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 t="s">
        <v>267</v>
      </c>
      <c r="C36" s="9" t="s">
        <v>267</v>
      </c>
      <c r="D36" s="9" t="s">
        <v>267</v>
      </c>
      <c r="E36" s="9" t="s">
        <v>267</v>
      </c>
      <c r="F36" s="9" t="s">
        <v>267</v>
      </c>
      <c r="G36" s="9" t="s">
        <v>267</v>
      </c>
      <c r="H36" s="9" t="s">
        <v>267</v>
      </c>
      <c r="I36" s="9" t="s">
        <v>267</v>
      </c>
      <c r="J36" s="9" t="s">
        <v>267</v>
      </c>
      <c r="K36" s="9" t="s">
        <v>267</v>
      </c>
      <c r="L36" s="9" t="s">
        <v>267</v>
      </c>
      <c r="M36" s="9" t="s">
        <v>267</v>
      </c>
      <c r="N36" s="9" t="s">
        <v>267</v>
      </c>
      <c r="O36" s="9" t="s">
        <v>267</v>
      </c>
      <c r="P36" s="9" t="s">
        <v>267</v>
      </c>
      <c r="Q36" s="9">
        <v>3.2003367068383</v>
      </c>
      <c r="R36" s="9" t="s">
        <v>267</v>
      </c>
      <c r="S36" s="9" t="s">
        <v>267</v>
      </c>
      <c r="T36" s="9" t="s">
        <v>267</v>
      </c>
      <c r="U36" s="9" t="s">
        <v>267</v>
      </c>
      <c r="V36" s="9" t="s">
        <v>267</v>
      </c>
      <c r="W36" s="9" t="s">
        <v>267</v>
      </c>
      <c r="X36" s="9" t="s">
        <v>267</v>
      </c>
      <c r="Y36" s="9" t="s">
        <v>267</v>
      </c>
      <c r="Z36" s="9" t="s">
        <v>267</v>
      </c>
      <c r="AA36" s="9" t="s">
        <v>267</v>
      </c>
      <c r="AB36" s="9" t="s">
        <v>267</v>
      </c>
      <c r="AC36" s="9" t="s">
        <v>267</v>
      </c>
      <c r="AD36" s="95" t="s">
        <v>267</v>
      </c>
      <c r="AE36" s="9" t="s">
        <v>267</v>
      </c>
      <c r="AF36" s="9" t="s">
        <v>267</v>
      </c>
      <c r="AG36" s="9">
        <v>6.4859913942891003</v>
      </c>
      <c r="AH36" s="96" t="s">
        <v>267</v>
      </c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 t="s">
        <v>267</v>
      </c>
      <c r="C37" s="9" t="s">
        <v>267</v>
      </c>
      <c r="D37" s="9" t="s">
        <v>267</v>
      </c>
      <c r="E37" s="9" t="s">
        <v>267</v>
      </c>
      <c r="F37" s="9" t="s">
        <v>267</v>
      </c>
      <c r="G37" s="9" t="s">
        <v>267</v>
      </c>
      <c r="H37" s="9" t="s">
        <v>267</v>
      </c>
      <c r="I37" s="9" t="s">
        <v>267</v>
      </c>
      <c r="J37" s="9" t="s">
        <v>267</v>
      </c>
      <c r="K37" s="9" t="s">
        <v>267</v>
      </c>
      <c r="L37" s="9" t="s">
        <v>267</v>
      </c>
      <c r="M37" s="9" t="s">
        <v>267</v>
      </c>
      <c r="N37" s="9" t="s">
        <v>267</v>
      </c>
      <c r="O37" s="9" t="s">
        <v>267</v>
      </c>
      <c r="P37" s="9" t="s">
        <v>267</v>
      </c>
      <c r="Q37" s="9" t="s">
        <v>267</v>
      </c>
      <c r="R37" s="9" t="s">
        <v>267</v>
      </c>
      <c r="S37" s="9" t="s">
        <v>267</v>
      </c>
      <c r="T37" s="9">
        <v>9.0689999999999991</v>
      </c>
      <c r="U37" s="9" t="s">
        <v>267</v>
      </c>
      <c r="V37" s="9" t="s">
        <v>267</v>
      </c>
      <c r="W37" s="9" t="s">
        <v>267</v>
      </c>
      <c r="X37" s="9" t="s">
        <v>267</v>
      </c>
      <c r="Y37" s="9" t="s">
        <v>267</v>
      </c>
      <c r="Z37" s="9" t="s">
        <v>267</v>
      </c>
      <c r="AA37" s="9" t="s">
        <v>267</v>
      </c>
      <c r="AB37" s="9" t="s">
        <v>267</v>
      </c>
      <c r="AC37" s="9" t="s">
        <v>267</v>
      </c>
      <c r="AD37" s="95" t="s">
        <v>267</v>
      </c>
      <c r="AE37" s="9" t="s">
        <v>267</v>
      </c>
      <c r="AF37" s="9" t="s">
        <v>267</v>
      </c>
      <c r="AG37" s="9">
        <v>3.419</v>
      </c>
      <c r="AH37" s="96" t="s">
        <v>267</v>
      </c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 t="s">
        <v>267</v>
      </c>
      <c r="C38" s="9" t="s">
        <v>267</v>
      </c>
      <c r="D38" s="9" t="s">
        <v>267</v>
      </c>
      <c r="E38" s="9" t="s">
        <v>267</v>
      </c>
      <c r="F38" s="9" t="s">
        <v>267</v>
      </c>
      <c r="G38" s="9" t="s">
        <v>267</v>
      </c>
      <c r="H38" s="9" t="s">
        <v>267</v>
      </c>
      <c r="I38" s="9" t="s">
        <v>267</v>
      </c>
      <c r="J38" s="9" t="s">
        <v>267</v>
      </c>
      <c r="K38" s="9" t="s">
        <v>267</v>
      </c>
      <c r="L38" s="9" t="s">
        <v>267</v>
      </c>
      <c r="M38" s="9" t="s">
        <v>267</v>
      </c>
      <c r="N38" s="9" t="s">
        <v>267</v>
      </c>
      <c r="O38" s="9" t="s">
        <v>267</v>
      </c>
      <c r="P38" s="9" t="s">
        <v>267</v>
      </c>
      <c r="Q38" s="9" t="s">
        <v>267</v>
      </c>
      <c r="R38" s="9" t="s">
        <v>267</v>
      </c>
      <c r="S38" s="9">
        <v>9.0689999999999991</v>
      </c>
      <c r="T38" s="9" t="s">
        <v>267</v>
      </c>
      <c r="U38" s="9" t="s">
        <v>267</v>
      </c>
      <c r="V38" s="9" t="s">
        <v>267</v>
      </c>
      <c r="W38" s="9">
        <v>5.4977999999999998</v>
      </c>
      <c r="X38" s="9" t="s">
        <v>267</v>
      </c>
      <c r="Y38" s="9" t="s">
        <v>267</v>
      </c>
      <c r="Z38" s="9" t="s">
        <v>267</v>
      </c>
      <c r="AA38" s="9" t="s">
        <v>267</v>
      </c>
      <c r="AB38" s="9" t="s">
        <v>267</v>
      </c>
      <c r="AC38" s="9" t="s">
        <v>267</v>
      </c>
      <c r="AD38" s="95" t="s">
        <v>267</v>
      </c>
      <c r="AE38" s="9" t="s">
        <v>267</v>
      </c>
      <c r="AF38" s="9" t="s">
        <v>267</v>
      </c>
      <c r="AG38" s="9" t="s">
        <v>267</v>
      </c>
      <c r="AH38" s="96" t="s">
        <v>267</v>
      </c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 t="s">
        <v>267</v>
      </c>
      <c r="C39" s="9" t="s">
        <v>267</v>
      </c>
      <c r="D39" s="9" t="s">
        <v>267</v>
      </c>
      <c r="E39" s="9" t="s">
        <v>267</v>
      </c>
      <c r="F39" s="9" t="s">
        <v>267</v>
      </c>
      <c r="G39" s="9" t="s">
        <v>267</v>
      </c>
      <c r="H39" s="9" t="s">
        <v>267</v>
      </c>
      <c r="I39" s="9" t="s">
        <v>267</v>
      </c>
      <c r="J39" s="9" t="s">
        <v>267</v>
      </c>
      <c r="K39" s="9" t="s">
        <v>267</v>
      </c>
      <c r="L39" s="9" t="s">
        <v>267</v>
      </c>
      <c r="M39" s="9" t="s">
        <v>267</v>
      </c>
      <c r="N39" s="9" t="s">
        <v>267</v>
      </c>
      <c r="O39" s="9" t="s">
        <v>267</v>
      </c>
      <c r="P39" s="9" t="s">
        <v>267</v>
      </c>
      <c r="Q39" s="9" t="s">
        <v>267</v>
      </c>
      <c r="R39" s="9" t="s">
        <v>267</v>
      </c>
      <c r="S39" s="9" t="s">
        <v>267</v>
      </c>
      <c r="T39" s="9" t="s">
        <v>267</v>
      </c>
      <c r="U39" s="9" t="s">
        <v>267</v>
      </c>
      <c r="V39" s="9">
        <v>7.4349999999999996</v>
      </c>
      <c r="W39" s="9" t="s">
        <v>267</v>
      </c>
      <c r="X39" s="9" t="s">
        <v>267</v>
      </c>
      <c r="Y39" s="9" t="s">
        <v>267</v>
      </c>
      <c r="Z39" s="9" t="s">
        <v>267</v>
      </c>
      <c r="AA39" s="9" t="s">
        <v>267</v>
      </c>
      <c r="AB39" s="9" t="s">
        <v>267</v>
      </c>
      <c r="AC39" s="9">
        <v>9.5470000000000006</v>
      </c>
      <c r="AD39" s="95" t="s">
        <v>267</v>
      </c>
      <c r="AE39" s="9" t="s">
        <v>267</v>
      </c>
      <c r="AF39" s="9" t="s">
        <v>267</v>
      </c>
      <c r="AG39" s="9" t="s">
        <v>267</v>
      </c>
      <c r="AH39" s="96" t="s">
        <v>267</v>
      </c>
      <c r="AI39" s="9"/>
      <c r="AJ39" s="9"/>
      <c r="AK39" s="9">
        <v>2.7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 t="s">
        <v>267</v>
      </c>
      <c r="C40" s="9" t="s">
        <v>267</v>
      </c>
      <c r="D40" s="9" t="s">
        <v>267</v>
      </c>
      <c r="E40" s="9" t="s">
        <v>267</v>
      </c>
      <c r="F40" s="9" t="s">
        <v>267</v>
      </c>
      <c r="G40" s="9" t="s">
        <v>267</v>
      </c>
      <c r="H40" s="9" t="s">
        <v>267</v>
      </c>
      <c r="I40" s="9" t="s">
        <v>267</v>
      </c>
      <c r="J40" s="9" t="s">
        <v>267</v>
      </c>
      <c r="K40" s="9" t="s">
        <v>267</v>
      </c>
      <c r="L40" s="9" t="s">
        <v>267</v>
      </c>
      <c r="M40" s="9" t="s">
        <v>267</v>
      </c>
      <c r="N40" s="9" t="s">
        <v>267</v>
      </c>
      <c r="O40" s="9" t="s">
        <v>267</v>
      </c>
      <c r="P40" s="9" t="s">
        <v>267</v>
      </c>
      <c r="Q40" s="9" t="s">
        <v>267</v>
      </c>
      <c r="R40" s="9" t="s">
        <v>267</v>
      </c>
      <c r="S40" s="9" t="s">
        <v>267</v>
      </c>
      <c r="T40" s="9" t="s">
        <v>267</v>
      </c>
      <c r="U40" s="9">
        <v>7.4349999999999996</v>
      </c>
      <c r="V40" s="9" t="s">
        <v>267</v>
      </c>
      <c r="W40" s="9">
        <v>7.3900000000000006</v>
      </c>
      <c r="X40" s="9" t="s">
        <v>267</v>
      </c>
      <c r="Y40" s="9" t="s">
        <v>267</v>
      </c>
      <c r="Z40" s="9" t="s">
        <v>267</v>
      </c>
      <c r="AA40" s="9" t="s">
        <v>267</v>
      </c>
      <c r="AB40" s="9" t="s">
        <v>267</v>
      </c>
      <c r="AC40" s="9" t="s">
        <v>267</v>
      </c>
      <c r="AD40" s="95" t="s">
        <v>267</v>
      </c>
      <c r="AE40" s="9" t="s">
        <v>267</v>
      </c>
      <c r="AF40" s="9" t="s">
        <v>267</v>
      </c>
      <c r="AG40" s="9" t="s">
        <v>267</v>
      </c>
      <c r="AH40" s="96" t="s">
        <v>267</v>
      </c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 t="s">
        <v>267</v>
      </c>
      <c r="C41" s="9" t="s">
        <v>267</v>
      </c>
      <c r="D41" s="9" t="s">
        <v>267</v>
      </c>
      <c r="E41" s="9" t="s">
        <v>267</v>
      </c>
      <c r="F41" s="9" t="s">
        <v>267</v>
      </c>
      <c r="G41" s="9" t="s">
        <v>267</v>
      </c>
      <c r="H41" s="9" t="s">
        <v>267</v>
      </c>
      <c r="I41" s="9" t="s">
        <v>267</v>
      </c>
      <c r="J41" s="9" t="s">
        <v>267</v>
      </c>
      <c r="K41" s="9" t="s">
        <v>267</v>
      </c>
      <c r="L41" s="9" t="s">
        <v>267</v>
      </c>
      <c r="M41" s="9" t="s">
        <v>267</v>
      </c>
      <c r="N41" s="9" t="s">
        <v>267</v>
      </c>
      <c r="O41" s="9" t="s">
        <v>267</v>
      </c>
      <c r="P41" s="9" t="s">
        <v>267</v>
      </c>
      <c r="Q41" s="9" t="s">
        <v>267</v>
      </c>
      <c r="R41" s="9" t="s">
        <v>267</v>
      </c>
      <c r="S41" s="9" t="s">
        <v>267</v>
      </c>
      <c r="T41" s="9">
        <v>5.4977999999999998</v>
      </c>
      <c r="U41" s="9" t="s">
        <v>267</v>
      </c>
      <c r="V41" s="9">
        <v>7.3900000000000006</v>
      </c>
      <c r="W41" s="9" t="s">
        <v>267</v>
      </c>
      <c r="X41" s="9">
        <v>2.8763999999999998</v>
      </c>
      <c r="Y41" s="9" t="s">
        <v>267</v>
      </c>
      <c r="Z41" s="9" t="s">
        <v>267</v>
      </c>
      <c r="AA41" s="9" t="s">
        <v>267</v>
      </c>
      <c r="AB41" s="9" t="s">
        <v>267</v>
      </c>
      <c r="AC41" s="9" t="s">
        <v>267</v>
      </c>
      <c r="AD41" s="95" t="s">
        <v>267</v>
      </c>
      <c r="AE41" s="9" t="s">
        <v>267</v>
      </c>
      <c r="AF41" s="9">
        <v>3.8807999999999998</v>
      </c>
      <c r="AG41" s="9" t="s">
        <v>267</v>
      </c>
      <c r="AH41" s="96" t="s">
        <v>267</v>
      </c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 t="s">
        <v>267</v>
      </c>
      <c r="C42" s="9" t="s">
        <v>267</v>
      </c>
      <c r="D42" s="9" t="s">
        <v>267</v>
      </c>
      <c r="E42" s="9" t="s">
        <v>267</v>
      </c>
      <c r="F42" s="9" t="s">
        <v>267</v>
      </c>
      <c r="G42" s="9" t="s">
        <v>267</v>
      </c>
      <c r="H42" s="9" t="s">
        <v>267</v>
      </c>
      <c r="I42" s="9" t="s">
        <v>267</v>
      </c>
      <c r="J42" s="9" t="s">
        <v>267</v>
      </c>
      <c r="K42" s="9" t="s">
        <v>267</v>
      </c>
      <c r="L42" s="9" t="s">
        <v>267</v>
      </c>
      <c r="M42" s="9" t="s">
        <v>267</v>
      </c>
      <c r="N42" s="9" t="s">
        <v>267</v>
      </c>
      <c r="O42" s="9" t="s">
        <v>267</v>
      </c>
      <c r="P42" s="9" t="s">
        <v>267</v>
      </c>
      <c r="Q42" s="9" t="s">
        <v>267</v>
      </c>
      <c r="R42" s="9" t="s">
        <v>267</v>
      </c>
      <c r="S42" s="9" t="s">
        <v>267</v>
      </c>
      <c r="T42" s="9" t="s">
        <v>267</v>
      </c>
      <c r="U42" s="9" t="s">
        <v>267</v>
      </c>
      <c r="V42" s="9" t="s">
        <v>267</v>
      </c>
      <c r="W42" s="9">
        <v>2.8763999999999998</v>
      </c>
      <c r="X42" s="9" t="s">
        <v>267</v>
      </c>
      <c r="Y42" s="9">
        <v>2.8607</v>
      </c>
      <c r="Z42" s="9" t="s">
        <v>267</v>
      </c>
      <c r="AA42" s="9" t="s">
        <v>267</v>
      </c>
      <c r="AB42" s="9" t="s">
        <v>267</v>
      </c>
      <c r="AC42" s="9" t="s">
        <v>267</v>
      </c>
      <c r="AD42" s="95" t="s">
        <v>267</v>
      </c>
      <c r="AE42" s="9" t="s">
        <v>267</v>
      </c>
      <c r="AF42" s="9" t="s">
        <v>267</v>
      </c>
      <c r="AG42" s="9" t="s">
        <v>267</v>
      </c>
      <c r="AH42" s="96" t="s">
        <v>267</v>
      </c>
      <c r="AI42" s="9"/>
      <c r="AJ42" s="9"/>
      <c r="AK42" s="9"/>
      <c r="AL42" s="9">
        <v>3.2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 t="s">
        <v>267</v>
      </c>
      <c r="C43" s="9" t="s">
        <v>267</v>
      </c>
      <c r="D43" s="9" t="s">
        <v>267</v>
      </c>
      <c r="E43" s="9" t="s">
        <v>267</v>
      </c>
      <c r="F43" s="9" t="s">
        <v>267</v>
      </c>
      <c r="G43" s="9" t="s">
        <v>267</v>
      </c>
      <c r="H43" s="9" t="s">
        <v>267</v>
      </c>
      <c r="I43" s="9" t="s">
        <v>267</v>
      </c>
      <c r="J43" s="9" t="s">
        <v>267</v>
      </c>
      <c r="K43" s="9" t="s">
        <v>267</v>
      </c>
      <c r="L43" s="9" t="s">
        <v>267</v>
      </c>
      <c r="M43" s="9" t="s">
        <v>267</v>
      </c>
      <c r="N43" s="9" t="s">
        <v>267</v>
      </c>
      <c r="O43" s="9" t="s">
        <v>267</v>
      </c>
      <c r="P43" s="9" t="s">
        <v>267</v>
      </c>
      <c r="Q43" s="9" t="s">
        <v>267</v>
      </c>
      <c r="R43" s="9" t="s">
        <v>267</v>
      </c>
      <c r="S43" s="9" t="s">
        <v>267</v>
      </c>
      <c r="T43" s="9" t="s">
        <v>267</v>
      </c>
      <c r="U43" s="9" t="s">
        <v>267</v>
      </c>
      <c r="V43" s="9" t="s">
        <v>267</v>
      </c>
      <c r="W43" s="9" t="s">
        <v>267</v>
      </c>
      <c r="X43" s="9">
        <v>2.8607</v>
      </c>
      <c r="Y43" s="9" t="s">
        <v>267</v>
      </c>
      <c r="Z43" s="9">
        <v>1.2730999999999999</v>
      </c>
      <c r="AA43" s="9" t="s">
        <v>267</v>
      </c>
      <c r="AB43" s="9" t="s">
        <v>267</v>
      </c>
      <c r="AC43" s="9" t="s">
        <v>267</v>
      </c>
      <c r="AD43" s="95" t="s">
        <v>267</v>
      </c>
      <c r="AE43" s="9" t="s">
        <v>267</v>
      </c>
      <c r="AF43" s="9" t="s">
        <v>267</v>
      </c>
      <c r="AG43" s="9" t="s">
        <v>267</v>
      </c>
      <c r="AH43" s="96" t="s">
        <v>267</v>
      </c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 t="s">
        <v>267</v>
      </c>
      <c r="C44" s="9" t="s">
        <v>267</v>
      </c>
      <c r="D44" s="9" t="s">
        <v>267</v>
      </c>
      <c r="E44" s="9" t="s">
        <v>267</v>
      </c>
      <c r="F44" s="9" t="s">
        <v>267</v>
      </c>
      <c r="G44" s="9" t="s">
        <v>267</v>
      </c>
      <c r="H44" s="9" t="s">
        <v>267</v>
      </c>
      <c r="I44" s="9" t="s">
        <v>267</v>
      </c>
      <c r="J44" s="9" t="s">
        <v>267</v>
      </c>
      <c r="K44" s="9" t="s">
        <v>267</v>
      </c>
      <c r="L44" s="9" t="s">
        <v>267</v>
      </c>
      <c r="M44" s="9" t="s">
        <v>267</v>
      </c>
      <c r="N44" s="9" t="s">
        <v>267</v>
      </c>
      <c r="O44" s="9" t="s">
        <v>267</v>
      </c>
      <c r="P44" s="9" t="s">
        <v>267</v>
      </c>
      <c r="Q44" s="9" t="s">
        <v>267</v>
      </c>
      <c r="R44" s="9" t="s">
        <v>267</v>
      </c>
      <c r="S44" s="9" t="s">
        <v>267</v>
      </c>
      <c r="T44" s="9" t="s">
        <v>267</v>
      </c>
      <c r="U44" s="9" t="s">
        <v>267</v>
      </c>
      <c r="V44" s="9" t="s">
        <v>267</v>
      </c>
      <c r="W44" s="9" t="s">
        <v>267</v>
      </c>
      <c r="X44" s="9" t="s">
        <v>267</v>
      </c>
      <c r="Y44" s="9">
        <v>1.2730999999999999</v>
      </c>
      <c r="Z44" s="9" t="s">
        <v>267</v>
      </c>
      <c r="AA44" s="9">
        <v>1.5841000000000001</v>
      </c>
      <c r="AB44" s="9" t="s">
        <v>267</v>
      </c>
      <c r="AC44" s="9" t="s">
        <v>267</v>
      </c>
      <c r="AD44" s="95" t="s">
        <v>267</v>
      </c>
      <c r="AE44" s="9" t="s">
        <v>267</v>
      </c>
      <c r="AF44" s="9" t="s">
        <v>267</v>
      </c>
      <c r="AG44" s="9" t="s">
        <v>267</v>
      </c>
      <c r="AH44" s="96" t="s">
        <v>267</v>
      </c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 t="s">
        <v>267</v>
      </c>
      <c r="C45" s="9" t="s">
        <v>267</v>
      </c>
      <c r="D45" s="9" t="s">
        <v>267</v>
      </c>
      <c r="E45" s="9" t="s">
        <v>267</v>
      </c>
      <c r="F45" s="9" t="s">
        <v>267</v>
      </c>
      <c r="G45" s="9" t="s">
        <v>267</v>
      </c>
      <c r="H45" s="9" t="s">
        <v>267</v>
      </c>
      <c r="I45" s="9" t="s">
        <v>267</v>
      </c>
      <c r="J45" s="9" t="s">
        <v>267</v>
      </c>
      <c r="K45" s="9" t="s">
        <v>267</v>
      </c>
      <c r="L45" s="9" t="s">
        <v>267</v>
      </c>
      <c r="M45" s="9" t="s">
        <v>267</v>
      </c>
      <c r="N45" s="9" t="s">
        <v>267</v>
      </c>
      <c r="O45" s="9" t="s">
        <v>267</v>
      </c>
      <c r="P45" s="9" t="s">
        <v>267</v>
      </c>
      <c r="Q45" s="9" t="s">
        <v>267</v>
      </c>
      <c r="R45" s="9" t="s">
        <v>267</v>
      </c>
      <c r="S45" s="9" t="s">
        <v>267</v>
      </c>
      <c r="T45" s="9" t="s">
        <v>267</v>
      </c>
      <c r="U45" s="9" t="s">
        <v>267</v>
      </c>
      <c r="V45" s="9" t="s">
        <v>267</v>
      </c>
      <c r="W45" s="9" t="s">
        <v>267</v>
      </c>
      <c r="X45" s="9" t="s">
        <v>267</v>
      </c>
      <c r="Y45" s="9" t="s">
        <v>267</v>
      </c>
      <c r="Z45" s="9">
        <v>1.5841000000000001</v>
      </c>
      <c r="AA45" s="9" t="s">
        <v>267</v>
      </c>
      <c r="AB45" s="9">
        <v>1.6506000000000001</v>
      </c>
      <c r="AC45" s="9"/>
      <c r="AD45" s="95" t="s">
        <v>267</v>
      </c>
      <c r="AE45" s="9" t="s">
        <v>267</v>
      </c>
      <c r="AF45" s="9" t="s">
        <v>267</v>
      </c>
      <c r="AG45" s="9" t="s">
        <v>267</v>
      </c>
      <c r="AH45" s="96">
        <v>3.2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 t="s">
        <v>267</v>
      </c>
      <c r="C46" s="9" t="s">
        <v>267</v>
      </c>
      <c r="D46" s="9" t="s">
        <v>267</v>
      </c>
      <c r="E46" s="9" t="s">
        <v>267</v>
      </c>
      <c r="F46" s="9" t="s">
        <v>267</v>
      </c>
      <c r="G46" s="9" t="s">
        <v>267</v>
      </c>
      <c r="H46" s="9" t="s">
        <v>267</v>
      </c>
      <c r="I46" s="9" t="s">
        <v>267</v>
      </c>
      <c r="J46" s="9" t="s">
        <v>267</v>
      </c>
      <c r="K46" s="9" t="s">
        <v>267</v>
      </c>
      <c r="L46" s="9" t="s">
        <v>267</v>
      </c>
      <c r="M46" s="9" t="s">
        <v>267</v>
      </c>
      <c r="N46" s="9" t="s">
        <v>267</v>
      </c>
      <c r="O46" s="9" t="s">
        <v>267</v>
      </c>
      <c r="P46" s="9" t="s">
        <v>267</v>
      </c>
      <c r="Q46" s="9" t="s">
        <v>267</v>
      </c>
      <c r="R46" s="9" t="s">
        <v>267</v>
      </c>
      <c r="S46" s="9" t="s">
        <v>267</v>
      </c>
      <c r="T46" s="9" t="s">
        <v>267</v>
      </c>
      <c r="U46" s="9" t="s">
        <v>267</v>
      </c>
      <c r="V46" s="9" t="s">
        <v>267</v>
      </c>
      <c r="W46" s="9" t="s">
        <v>267</v>
      </c>
      <c r="X46" s="9" t="s">
        <v>267</v>
      </c>
      <c r="Y46" s="9" t="s">
        <v>267</v>
      </c>
      <c r="Z46" s="9" t="s">
        <v>267</v>
      </c>
      <c r="AA46" s="9">
        <v>1.6506000000000001</v>
      </c>
      <c r="AB46" s="9" t="s">
        <v>267</v>
      </c>
      <c r="AC46" s="9" t="s">
        <v>267</v>
      </c>
      <c r="AD46" s="95" t="s">
        <v>267</v>
      </c>
      <c r="AE46" s="9" t="s">
        <v>267</v>
      </c>
      <c r="AF46" s="9" t="s">
        <v>267</v>
      </c>
      <c r="AG46" s="9" t="s">
        <v>267</v>
      </c>
      <c r="AH46" s="96" t="s">
        <v>267</v>
      </c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 t="s">
        <v>267</v>
      </c>
      <c r="C47" s="9" t="s">
        <v>267</v>
      </c>
      <c r="D47" s="9" t="s">
        <v>267</v>
      </c>
      <c r="E47" s="9" t="s">
        <v>267</v>
      </c>
      <c r="F47" s="9" t="s">
        <v>267</v>
      </c>
      <c r="G47" s="9" t="s">
        <v>267</v>
      </c>
      <c r="H47" s="9" t="s">
        <v>267</v>
      </c>
      <c r="I47" s="9" t="s">
        <v>267</v>
      </c>
      <c r="J47" s="9" t="s">
        <v>267</v>
      </c>
      <c r="K47" s="9" t="s">
        <v>267</v>
      </c>
      <c r="L47" s="9" t="s">
        <v>267</v>
      </c>
      <c r="M47" s="9" t="s">
        <v>267</v>
      </c>
      <c r="N47" s="9" t="s">
        <v>267</v>
      </c>
      <c r="O47" s="9">
        <v>1.3958999999999999</v>
      </c>
      <c r="P47" s="9">
        <v>7.1440000000000001</v>
      </c>
      <c r="Q47" s="9" t="s">
        <v>267</v>
      </c>
      <c r="R47" s="9" t="s">
        <v>267</v>
      </c>
      <c r="S47" s="9" t="s">
        <v>267</v>
      </c>
      <c r="T47" s="9" t="s">
        <v>267</v>
      </c>
      <c r="U47" s="9">
        <v>9.5470000000000006</v>
      </c>
      <c r="V47" s="9" t="s">
        <v>267</v>
      </c>
      <c r="W47" s="9" t="s">
        <v>267</v>
      </c>
      <c r="X47" s="9" t="s">
        <v>267</v>
      </c>
      <c r="Y47" s="9" t="s">
        <v>267</v>
      </c>
      <c r="Z47" s="9" t="s">
        <v>267</v>
      </c>
      <c r="AA47" s="9"/>
      <c r="AB47" s="9" t="s">
        <v>267</v>
      </c>
      <c r="AC47" s="9" t="s">
        <v>267</v>
      </c>
      <c r="AD47" s="95" t="s">
        <v>267</v>
      </c>
      <c r="AE47" s="9" t="s">
        <v>267</v>
      </c>
      <c r="AF47" s="9" t="s">
        <v>267</v>
      </c>
      <c r="AG47" s="9" t="s">
        <v>267</v>
      </c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9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10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 t="s">
        <v>267</v>
      </c>
      <c r="P50" s="98" t="s">
        <v>267</v>
      </c>
      <c r="Q50" s="98" t="s">
        <v>267</v>
      </c>
      <c r="R50" s="98" t="s">
        <v>267</v>
      </c>
      <c r="S50" s="98" t="s">
        <v>267</v>
      </c>
      <c r="T50" s="98" t="s">
        <v>267</v>
      </c>
      <c r="U50" s="98" t="s">
        <v>267</v>
      </c>
      <c r="V50" s="98" t="s">
        <v>267</v>
      </c>
      <c r="W50" s="98" t="s">
        <v>267</v>
      </c>
      <c r="X50" s="98" t="s">
        <v>267</v>
      </c>
      <c r="Y50" s="98" t="s">
        <v>267</v>
      </c>
      <c r="Z50" s="98" t="s">
        <v>267</v>
      </c>
      <c r="AA50" s="98" t="s">
        <v>267</v>
      </c>
      <c r="AB50" s="98" t="s">
        <v>267</v>
      </c>
      <c r="AC50" s="98" t="s">
        <v>267</v>
      </c>
      <c r="AD50" s="97" t="s">
        <v>267</v>
      </c>
      <c r="AE50" s="98" t="s">
        <v>267</v>
      </c>
      <c r="AF50" s="98" t="s">
        <v>267</v>
      </c>
      <c r="AG50" s="98" t="s">
        <v>267</v>
      </c>
      <c r="AH50" s="99" t="s">
        <v>267</v>
      </c>
      <c r="AI50" s="98"/>
      <c r="AJ50" s="98"/>
      <c r="AK50" s="98"/>
      <c r="AL50" s="98"/>
      <c r="AM50" s="97" t="s">
        <v>267</v>
      </c>
      <c r="AN50" s="98"/>
      <c r="AO50" s="99"/>
      <c r="AP50" s="98" t="s">
        <v>267</v>
      </c>
      <c r="AQ50" s="98" t="s">
        <v>267</v>
      </c>
      <c r="AR50" s="102">
        <v>6</v>
      </c>
    </row>
    <row r="51" spans="1:44" x14ac:dyDescent="0.3">
      <c r="A51" s="58" t="s">
        <v>126</v>
      </c>
      <c r="B51" s="93" t="s">
        <v>267</v>
      </c>
      <c r="C51" s="93" t="s">
        <v>267</v>
      </c>
      <c r="D51" s="93" t="s">
        <v>267</v>
      </c>
      <c r="E51" s="93" t="s">
        <v>267</v>
      </c>
      <c r="F51" s="93" t="s">
        <v>267</v>
      </c>
      <c r="G51" s="93" t="s">
        <v>267</v>
      </c>
      <c r="H51" s="93" t="s">
        <v>267</v>
      </c>
      <c r="I51" s="93" t="s">
        <v>267</v>
      </c>
      <c r="J51" s="93" t="s">
        <v>267</v>
      </c>
      <c r="K51" s="93" t="s">
        <v>267</v>
      </c>
      <c r="L51" s="93" t="s">
        <v>267</v>
      </c>
      <c r="M51" s="93" t="s">
        <v>267</v>
      </c>
      <c r="N51" s="93" t="s">
        <v>267</v>
      </c>
      <c r="O51" s="93" t="s">
        <v>267</v>
      </c>
      <c r="P51" s="93" t="s">
        <v>267</v>
      </c>
      <c r="Q51" s="93" t="s">
        <v>267</v>
      </c>
      <c r="R51" s="93" t="s">
        <v>267</v>
      </c>
      <c r="S51" s="93" t="s">
        <v>267</v>
      </c>
      <c r="T51" s="93" t="s">
        <v>267</v>
      </c>
      <c r="U51" s="93" t="s">
        <v>267</v>
      </c>
      <c r="V51" s="93" t="s">
        <v>267</v>
      </c>
      <c r="W51" s="93" t="s">
        <v>267</v>
      </c>
      <c r="X51" s="93" t="s">
        <v>267</v>
      </c>
      <c r="Y51" s="93" t="s">
        <v>267</v>
      </c>
      <c r="Z51" s="93" t="s">
        <v>267</v>
      </c>
      <c r="AA51" s="93" t="s">
        <v>267</v>
      </c>
      <c r="AB51" s="93" t="s">
        <v>267</v>
      </c>
      <c r="AC51" s="93" t="s">
        <v>267</v>
      </c>
      <c r="AD51" s="92" t="s">
        <v>267</v>
      </c>
      <c r="AE51" s="93" t="s">
        <v>267</v>
      </c>
      <c r="AF51" s="93" t="s">
        <v>267</v>
      </c>
      <c r="AG51" s="93" t="s">
        <v>267</v>
      </c>
      <c r="AH51" s="94" t="s">
        <v>267</v>
      </c>
      <c r="AI51" s="93"/>
      <c r="AJ51" s="93"/>
      <c r="AK51" s="93"/>
      <c r="AL51" s="93"/>
      <c r="AM51" s="92" t="s">
        <v>267</v>
      </c>
      <c r="AN51" s="93"/>
      <c r="AO51" s="94"/>
      <c r="AP51" s="93">
        <v>2.6</v>
      </c>
      <c r="AQ51" s="93">
        <v>2.6</v>
      </c>
      <c r="AR51" s="101">
        <v>2.6</v>
      </c>
    </row>
    <row r="52" spans="1:44" x14ac:dyDescent="0.3">
      <c r="A52" s="83" t="s">
        <v>127</v>
      </c>
      <c r="B52" s="98" t="s">
        <v>267</v>
      </c>
      <c r="C52" s="98" t="s">
        <v>267</v>
      </c>
      <c r="D52" s="98" t="s">
        <v>267</v>
      </c>
      <c r="E52" s="98" t="s">
        <v>267</v>
      </c>
      <c r="F52" s="98" t="s">
        <v>267</v>
      </c>
      <c r="G52" s="98" t="s">
        <v>267</v>
      </c>
      <c r="H52" s="98" t="s">
        <v>267</v>
      </c>
      <c r="I52" s="98" t="s">
        <v>267</v>
      </c>
      <c r="J52" s="98" t="s">
        <v>267</v>
      </c>
      <c r="K52" s="98" t="s">
        <v>267</v>
      </c>
      <c r="L52" s="98" t="s">
        <v>267</v>
      </c>
      <c r="M52" s="98" t="s">
        <v>267</v>
      </c>
      <c r="N52" s="98" t="s">
        <v>267</v>
      </c>
      <c r="O52" s="98" t="s">
        <v>267</v>
      </c>
      <c r="P52" s="98" t="s">
        <v>267</v>
      </c>
      <c r="Q52" s="98" t="s">
        <v>267</v>
      </c>
      <c r="R52" s="98" t="s">
        <v>267</v>
      </c>
      <c r="S52" s="98" t="s">
        <v>267</v>
      </c>
      <c r="T52" s="98" t="s">
        <v>267</v>
      </c>
      <c r="U52" s="98" t="s">
        <v>267</v>
      </c>
      <c r="V52" s="98" t="s">
        <v>267</v>
      </c>
      <c r="W52" s="98" t="s">
        <v>267</v>
      </c>
      <c r="X52" s="98" t="s">
        <v>267</v>
      </c>
      <c r="Y52" s="98" t="s">
        <v>267</v>
      </c>
      <c r="Z52" s="98" t="s">
        <v>267</v>
      </c>
      <c r="AA52" s="98" t="s">
        <v>267</v>
      </c>
      <c r="AB52" s="98" t="s">
        <v>267</v>
      </c>
      <c r="AC52" s="98" t="s">
        <v>267</v>
      </c>
      <c r="AD52" s="97" t="s">
        <v>267</v>
      </c>
      <c r="AE52" s="98" t="s">
        <v>267</v>
      </c>
      <c r="AF52" s="98" t="s">
        <v>267</v>
      </c>
      <c r="AG52" s="98" t="s">
        <v>267</v>
      </c>
      <c r="AH52" s="99" t="s">
        <v>267</v>
      </c>
      <c r="AI52" s="98"/>
      <c r="AJ52" s="98"/>
      <c r="AK52" s="98"/>
      <c r="AL52" s="98"/>
      <c r="AM52" s="97" t="s">
        <v>267</v>
      </c>
      <c r="AN52" s="98"/>
      <c r="AO52" s="99"/>
      <c r="AP52" s="98">
        <v>2.6</v>
      </c>
      <c r="AQ52" s="98">
        <v>2.6</v>
      </c>
      <c r="AR52" s="102">
        <v>2.6</v>
      </c>
    </row>
    <row r="53" spans="1:44" x14ac:dyDescent="0.3">
      <c r="A53" s="28" t="s">
        <v>133</v>
      </c>
      <c r="B53" s="9" t="s">
        <v>267</v>
      </c>
      <c r="C53" s="9" t="s">
        <v>267</v>
      </c>
      <c r="D53" s="9"/>
      <c r="E53" s="9" t="s">
        <v>267</v>
      </c>
      <c r="F53" s="9" t="s">
        <v>267</v>
      </c>
      <c r="G53" s="9" t="s">
        <v>267</v>
      </c>
      <c r="H53" s="9" t="s">
        <v>267</v>
      </c>
      <c r="I53" s="9" t="s">
        <v>267</v>
      </c>
      <c r="J53" s="9" t="s">
        <v>267</v>
      </c>
      <c r="K53" s="9">
        <v>2.5</v>
      </c>
      <c r="L53" s="9" t="s">
        <v>267</v>
      </c>
      <c r="M53" s="9" t="s">
        <v>267</v>
      </c>
      <c r="N53" s="9" t="s">
        <v>267</v>
      </c>
      <c r="O53" s="9" t="s">
        <v>267</v>
      </c>
      <c r="P53" s="9" t="s">
        <v>267</v>
      </c>
      <c r="Q53" s="9" t="s">
        <v>267</v>
      </c>
      <c r="R53" s="9" t="s">
        <v>267</v>
      </c>
      <c r="S53" s="9" t="s">
        <v>267</v>
      </c>
      <c r="T53" s="9" t="s">
        <v>267</v>
      </c>
      <c r="U53" s="9"/>
      <c r="V53" s="9" t="s">
        <v>267</v>
      </c>
      <c r="W53" s="9" t="s">
        <v>267</v>
      </c>
      <c r="X53" s="9" t="s">
        <v>267</v>
      </c>
      <c r="Y53" s="9" t="s">
        <v>267</v>
      </c>
      <c r="Z53" s="9" t="s">
        <v>267</v>
      </c>
      <c r="AA53" s="9" t="s">
        <v>267</v>
      </c>
      <c r="AB53" s="9" t="s">
        <v>267</v>
      </c>
      <c r="AC53" s="9" t="s">
        <v>267</v>
      </c>
      <c r="AD53" s="95" t="s">
        <v>267</v>
      </c>
      <c r="AE53" s="9" t="s">
        <v>267</v>
      </c>
      <c r="AF53" s="9" t="s">
        <v>267</v>
      </c>
      <c r="AG53" s="9" t="s">
        <v>267</v>
      </c>
      <c r="AH53" s="96" t="s">
        <v>267</v>
      </c>
      <c r="AI53" s="9"/>
      <c r="AJ53" s="9"/>
      <c r="AK53" s="9"/>
      <c r="AL53" s="9"/>
      <c r="AM53" s="95">
        <v>0.1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>
        <v>1.5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>
        <v>2.7</v>
      </c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0.1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3.2</v>
      </c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0.1</v>
      </c>
      <c r="AP56" s="10"/>
      <c r="AQ56" s="10"/>
      <c r="AR56" s="11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182-CFB4-4537-B5F7-69962DD30DA1}">
  <sheetPr>
    <tabColor theme="5" tint="0.79998168889431442"/>
  </sheetPr>
  <dimension ref="A1:E6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5" ht="16.2" thickBot="1" x14ac:dyDescent="0.35">
      <c r="A1" s="1" t="str">
        <f>_xlfn.CONCAT( "Table of Pipeline Capacity Expansion Costs [",VLOOKUP("currency", Units!$A$2:$B$11, 2, FALSE),"/(", VLOOKUP("volume", Units!$A$2:$B$11, 2, FALSE),"/", VLOOKUP("time", Units!$A$2:$B$11, 2, FALSE),")]")</f>
        <v>Table of Pipeline Capacity Expansion Costs [USD/(bbl/day)]</v>
      </c>
    </row>
    <row r="2" spans="1:5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x14ac:dyDescent="0.3">
      <c r="A3" s="28" t="s">
        <v>150</v>
      </c>
      <c r="B3" s="51" t="s">
        <v>152</v>
      </c>
      <c r="C3" s="52">
        <v>30</v>
      </c>
      <c r="D3" s="52">
        <v>30</v>
      </c>
      <c r="E3" s="53">
        <v>30</v>
      </c>
    </row>
    <row r="4" spans="1:5" x14ac:dyDescent="0.3">
      <c r="A4" s="28" t="s">
        <v>152</v>
      </c>
      <c r="B4" s="51" t="s">
        <v>150</v>
      </c>
      <c r="C4" s="52">
        <v>30</v>
      </c>
      <c r="D4" s="52">
        <v>30</v>
      </c>
      <c r="E4" s="53">
        <v>30</v>
      </c>
    </row>
    <row r="5" spans="1:5" x14ac:dyDescent="0.3">
      <c r="A5" s="28" t="s">
        <v>149</v>
      </c>
      <c r="B5" s="51" t="s">
        <v>151</v>
      </c>
      <c r="C5" s="52">
        <v>30</v>
      </c>
      <c r="D5" s="52">
        <v>30</v>
      </c>
      <c r="E5" s="53">
        <v>30</v>
      </c>
    </row>
    <row r="6" spans="1:5" ht="16.2" thickBot="1" x14ac:dyDescent="0.35">
      <c r="A6" s="29" t="s">
        <v>151</v>
      </c>
      <c r="B6" s="54" t="s">
        <v>149</v>
      </c>
      <c r="C6" s="55">
        <v>30</v>
      </c>
      <c r="D6" s="55">
        <v>30</v>
      </c>
      <c r="E6" s="56">
        <v>30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CD48-6980-4EA6-BF3E-79D1C64EA04C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9.109375" style="1" customWidth="1"/>
    <col min="2" max="16384" width="9.33203125" style="1"/>
  </cols>
  <sheetData>
    <row r="1" spans="1:2" ht="16.2" thickBot="1" x14ac:dyDescent="0.35">
      <c r="A1" s="1" t="str">
        <f>_xlfn.CONCAT( "Table of Pipeline Capacity Expansion Increments [",VLOOKUP("volume", Units!$A$2:$B$11, 2, FALSE),"/", VLOOKUP("time", Units!$A$2:$B$11, 2, FALSE),"]")</f>
        <v>Table of Pipeline Capacity Expansion Increments [bbl/day]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14285.714285714286</v>
      </c>
    </row>
    <row r="5" spans="1:2" ht="16.2" thickBot="1" x14ac:dyDescent="0.35">
      <c r="A5" s="29" t="s">
        <v>172</v>
      </c>
      <c r="B5" s="39">
        <v>42857.142857142855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D3-BD42-4D5C-8C0F-68DF124ED3E8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tr">
        <f>_xlfn.CONCAT( "Table of Pipeline Diameters [",VLOOKUP("diameter", Units!$A$2:$B$11, 2, FALSE),"]")</f>
        <v>Table of Pipeline Diameters [inch]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4</v>
      </c>
    </row>
    <row r="5" spans="1:2" ht="16.2" thickBot="1" x14ac:dyDescent="0.35">
      <c r="A5" s="29" t="s">
        <v>172</v>
      </c>
      <c r="B5" s="39">
        <v>8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75E-153D-40A1-94D4-31ED20AACD7B}">
  <sheetPr>
    <tabColor rgb="FFAFF3DE"/>
  </sheetPr>
  <dimension ref="A1:C22"/>
  <sheetViews>
    <sheetView workbookViewId="0">
      <selection activeCell="H21" sqref="H21"/>
    </sheetView>
  </sheetViews>
  <sheetFormatPr defaultColWidth="9.109375" defaultRowHeight="15.6" x14ac:dyDescent="0.3"/>
  <cols>
    <col min="1" max="1" width="17.33203125" style="1" customWidth="1"/>
    <col min="2" max="2" width="23.5546875" style="1" bestFit="1" customWidth="1"/>
    <col min="3" max="16384" width="9.109375" style="1"/>
  </cols>
  <sheetData>
    <row r="1" spans="1:3" ht="16.2" thickBot="1" x14ac:dyDescent="0.35">
      <c r="A1" s="1" t="s">
        <v>263</v>
      </c>
    </row>
    <row r="2" spans="1:3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0.95</v>
      </c>
    </row>
    <row r="4" spans="1:3" x14ac:dyDescent="0.3">
      <c r="A4" s="28" t="s">
        <v>134</v>
      </c>
      <c r="B4" s="104" t="s">
        <v>137</v>
      </c>
      <c r="C4" s="31">
        <v>0.95</v>
      </c>
    </row>
    <row r="5" spans="1:3" x14ac:dyDescent="0.3">
      <c r="A5" s="28" t="s">
        <v>135</v>
      </c>
      <c r="B5" s="104" t="s">
        <v>137</v>
      </c>
      <c r="C5" s="31">
        <v>0.95</v>
      </c>
    </row>
    <row r="6" spans="1:3" x14ac:dyDescent="0.3">
      <c r="A6" s="28" t="s">
        <v>136</v>
      </c>
      <c r="B6" s="104" t="s">
        <v>137</v>
      </c>
      <c r="C6" s="31">
        <v>0.95</v>
      </c>
    </row>
    <row r="7" spans="1:3" x14ac:dyDescent="0.3">
      <c r="A7" s="28" t="s">
        <v>133</v>
      </c>
      <c r="B7" s="104" t="s">
        <v>138</v>
      </c>
      <c r="C7" s="31">
        <v>0.95</v>
      </c>
    </row>
    <row r="8" spans="1:3" x14ac:dyDescent="0.3">
      <c r="A8" s="28" t="s">
        <v>134</v>
      </c>
      <c r="B8" s="104" t="s">
        <v>138</v>
      </c>
      <c r="C8" s="31">
        <v>0.95</v>
      </c>
    </row>
    <row r="9" spans="1:3" x14ac:dyDescent="0.3">
      <c r="A9" s="28" t="s">
        <v>135</v>
      </c>
      <c r="B9" s="104" t="s">
        <v>138</v>
      </c>
      <c r="C9" s="31">
        <v>0.95</v>
      </c>
    </row>
    <row r="10" spans="1:3" x14ac:dyDescent="0.3">
      <c r="A10" s="28" t="s">
        <v>136</v>
      </c>
      <c r="B10" s="104" t="s">
        <v>138</v>
      </c>
      <c r="C10" s="31">
        <v>0.95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28" t="s">
        <v>136</v>
      </c>
      <c r="B14" s="104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0.5</v>
      </c>
    </row>
    <row r="16" spans="1:3" x14ac:dyDescent="0.3">
      <c r="A16" s="28" t="s">
        <v>134</v>
      </c>
      <c r="B16" s="104" t="s">
        <v>347</v>
      </c>
      <c r="C16" s="31">
        <v>0.5</v>
      </c>
    </row>
    <row r="17" spans="1:3" x14ac:dyDescent="0.3">
      <c r="A17" s="28" t="s">
        <v>135</v>
      </c>
      <c r="B17" s="104" t="s">
        <v>347</v>
      </c>
      <c r="C17" s="31">
        <v>0.5</v>
      </c>
    </row>
    <row r="18" spans="1:3" x14ac:dyDescent="0.3">
      <c r="A18" s="28" t="s">
        <v>136</v>
      </c>
      <c r="B18" s="104" t="s">
        <v>347</v>
      </c>
      <c r="C18" s="31">
        <v>0.5</v>
      </c>
    </row>
    <row r="19" spans="1:3" x14ac:dyDescent="0.3">
      <c r="A19" s="28" t="s">
        <v>133</v>
      </c>
      <c r="B19" s="104" t="s">
        <v>348</v>
      </c>
      <c r="C19" s="31">
        <v>0.5</v>
      </c>
    </row>
    <row r="20" spans="1:3" x14ac:dyDescent="0.3">
      <c r="A20" s="28" t="s">
        <v>134</v>
      </c>
      <c r="B20" s="104" t="s">
        <v>348</v>
      </c>
      <c r="C20" s="31">
        <v>1.5</v>
      </c>
    </row>
    <row r="21" spans="1:3" x14ac:dyDescent="0.3">
      <c r="A21" s="28" t="s">
        <v>135</v>
      </c>
      <c r="B21" s="104" t="s">
        <v>348</v>
      </c>
      <c r="C21" s="31">
        <v>2.5</v>
      </c>
    </row>
    <row r="22" spans="1:3" ht="16.2" thickBot="1" x14ac:dyDescent="0.35">
      <c r="A22" s="29" t="s">
        <v>136</v>
      </c>
      <c r="B22" s="113" t="s">
        <v>348</v>
      </c>
      <c r="C22" s="11">
        <v>0.5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E5B-BDCC-4DEB-A724-3B0573940C90}">
  <sheetPr>
    <tabColor rgb="FFAFF3DE"/>
  </sheetPr>
  <dimension ref="A1:C22"/>
  <sheetViews>
    <sheetView workbookViewId="0">
      <selection activeCell="F16" sqref="F16"/>
    </sheetView>
  </sheetViews>
  <sheetFormatPr defaultColWidth="9.109375" defaultRowHeight="15.6" x14ac:dyDescent="0.3"/>
  <cols>
    <col min="1" max="16384" width="9.109375" style="1"/>
  </cols>
  <sheetData>
    <row r="1" spans="1:3" ht="16.2" thickBot="1" x14ac:dyDescent="0.35">
      <c r="A1" s="1" t="s">
        <v>280</v>
      </c>
    </row>
    <row r="2" spans="1:3" x14ac:dyDescent="0.3">
      <c r="A2" s="6" t="s">
        <v>196</v>
      </c>
      <c r="B2" s="112" t="s">
        <v>259</v>
      </c>
      <c r="C2" s="27" t="s">
        <v>264</v>
      </c>
    </row>
    <row r="3" spans="1:3" x14ac:dyDescent="0.3">
      <c r="A3" s="28" t="s">
        <v>133</v>
      </c>
      <c r="B3" s="104" t="s">
        <v>137</v>
      </c>
      <c r="C3" s="31">
        <v>0</v>
      </c>
    </row>
    <row r="4" spans="1:3" x14ac:dyDescent="0.3">
      <c r="A4" s="28" t="s">
        <v>134</v>
      </c>
      <c r="B4" s="104" t="s">
        <v>137</v>
      </c>
      <c r="C4" s="31">
        <v>0</v>
      </c>
    </row>
    <row r="5" spans="1:3" x14ac:dyDescent="0.3">
      <c r="A5" s="28" t="s">
        <v>135</v>
      </c>
      <c r="B5" s="104" t="s">
        <v>137</v>
      </c>
      <c r="C5" s="31">
        <v>0</v>
      </c>
    </row>
    <row r="6" spans="1:3" x14ac:dyDescent="0.3">
      <c r="A6" s="28" t="s">
        <v>136</v>
      </c>
      <c r="B6" s="104" t="s">
        <v>137</v>
      </c>
      <c r="C6" s="31">
        <v>0</v>
      </c>
    </row>
    <row r="7" spans="1:3" x14ac:dyDescent="0.3">
      <c r="A7" s="28" t="s">
        <v>133</v>
      </c>
      <c r="B7" s="104" t="s">
        <v>138</v>
      </c>
      <c r="C7" s="31">
        <v>0</v>
      </c>
    </row>
    <row r="8" spans="1:3" x14ac:dyDescent="0.3">
      <c r="A8" s="28" t="s">
        <v>134</v>
      </c>
      <c r="B8" s="104" t="s">
        <v>138</v>
      </c>
      <c r="C8" s="31">
        <v>0</v>
      </c>
    </row>
    <row r="9" spans="1:3" x14ac:dyDescent="0.3">
      <c r="A9" s="28" t="s">
        <v>135</v>
      </c>
      <c r="B9" s="104" t="s">
        <v>138</v>
      </c>
      <c r="C9" s="31">
        <v>0</v>
      </c>
    </row>
    <row r="10" spans="1:3" x14ac:dyDescent="0.3">
      <c r="A10" s="28" t="s">
        <v>136</v>
      </c>
      <c r="B10" s="104" t="s">
        <v>138</v>
      </c>
      <c r="C10" s="31">
        <v>0</v>
      </c>
    </row>
    <row r="11" spans="1:3" x14ac:dyDescent="0.3">
      <c r="A11" s="28" t="s">
        <v>133</v>
      </c>
      <c r="B11" s="104" t="s">
        <v>346</v>
      </c>
      <c r="C11" s="31">
        <v>0.99</v>
      </c>
    </row>
    <row r="12" spans="1:3" x14ac:dyDescent="0.3">
      <c r="A12" s="28" t="s">
        <v>134</v>
      </c>
      <c r="B12" s="104" t="s">
        <v>346</v>
      </c>
      <c r="C12" s="31">
        <v>0.99</v>
      </c>
    </row>
    <row r="13" spans="1:3" x14ac:dyDescent="0.3">
      <c r="A13" s="28" t="s">
        <v>135</v>
      </c>
      <c r="B13" s="104" t="s">
        <v>346</v>
      </c>
      <c r="C13" s="31">
        <v>0.99</v>
      </c>
    </row>
    <row r="14" spans="1:3" x14ac:dyDescent="0.3">
      <c r="A14" s="28" t="s">
        <v>136</v>
      </c>
      <c r="B14" s="104" t="s">
        <v>346</v>
      </c>
      <c r="C14" s="31">
        <v>0.99</v>
      </c>
    </row>
    <row r="15" spans="1:3" x14ac:dyDescent="0.3">
      <c r="A15" s="28" t="s">
        <v>133</v>
      </c>
      <c r="B15" s="104" t="s">
        <v>347</v>
      </c>
      <c r="C15" s="31">
        <v>0.99</v>
      </c>
    </row>
    <row r="16" spans="1:3" x14ac:dyDescent="0.3">
      <c r="A16" s="28" t="s">
        <v>134</v>
      </c>
      <c r="B16" s="104" t="s">
        <v>347</v>
      </c>
      <c r="C16" s="31">
        <v>0.99</v>
      </c>
    </row>
    <row r="17" spans="1:3" x14ac:dyDescent="0.3">
      <c r="A17" s="28" t="s">
        <v>135</v>
      </c>
      <c r="B17" s="104" t="s">
        <v>347</v>
      </c>
      <c r="C17" s="31">
        <v>0.99</v>
      </c>
    </row>
    <row r="18" spans="1:3" x14ac:dyDescent="0.3">
      <c r="A18" s="28" t="s">
        <v>136</v>
      </c>
      <c r="B18" s="104" t="s">
        <v>347</v>
      </c>
      <c r="C18" s="31">
        <v>0.99</v>
      </c>
    </row>
    <row r="19" spans="1:3" x14ac:dyDescent="0.3">
      <c r="A19" s="28" t="s">
        <v>133</v>
      </c>
      <c r="B19" s="104" t="s">
        <v>348</v>
      </c>
      <c r="C19" s="31">
        <v>0.99</v>
      </c>
    </row>
    <row r="20" spans="1:3" x14ac:dyDescent="0.3">
      <c r="A20" s="28" t="s">
        <v>134</v>
      </c>
      <c r="B20" s="104" t="s">
        <v>348</v>
      </c>
      <c r="C20" s="31">
        <v>0.99</v>
      </c>
    </row>
    <row r="21" spans="1:3" x14ac:dyDescent="0.3">
      <c r="A21" s="28" t="s">
        <v>135</v>
      </c>
      <c r="B21" s="104" t="s">
        <v>348</v>
      </c>
      <c r="C21" s="31">
        <v>0.99</v>
      </c>
    </row>
    <row r="22" spans="1:3" ht="16.2" thickBot="1" x14ac:dyDescent="0.35">
      <c r="A22" s="29" t="s">
        <v>136</v>
      </c>
      <c r="B22" s="113" t="s">
        <v>348</v>
      </c>
      <c r="C22" s="148">
        <v>0.99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071-C07A-46F0-B343-7584DB2F1269}">
  <sheetPr>
    <tabColor rgb="FFAFF3DE"/>
  </sheetPr>
  <dimension ref="A1:B7"/>
  <sheetViews>
    <sheetView workbookViewId="0">
      <selection activeCell="G11" sqref="G11"/>
    </sheetView>
  </sheetViews>
  <sheetFormatPr defaultColWidth="9.109375" defaultRowHeight="15.6" x14ac:dyDescent="0.3"/>
  <cols>
    <col min="1" max="1" width="25.44140625" style="1" customWidth="1"/>
    <col min="2" max="16384" width="9.109375" style="1"/>
  </cols>
  <sheetData>
    <row r="1" spans="1:2" ht="16.2" thickBot="1" x14ac:dyDescent="0.35">
      <c r="A1" s="1" t="s">
        <v>279</v>
      </c>
    </row>
    <row r="2" spans="1:2" x14ac:dyDescent="0.3">
      <c r="A2" s="6" t="s">
        <v>259</v>
      </c>
      <c r="B2" s="27" t="s">
        <v>44</v>
      </c>
    </row>
    <row r="3" spans="1:2" x14ac:dyDescent="0.3">
      <c r="A3" s="117" t="s">
        <v>137</v>
      </c>
      <c r="B3" s="37">
        <v>0</v>
      </c>
    </row>
    <row r="4" spans="1:2" x14ac:dyDescent="0.3">
      <c r="A4" s="117" t="s">
        <v>138</v>
      </c>
      <c r="B4" s="37">
        <v>0</v>
      </c>
    </row>
    <row r="5" spans="1:2" x14ac:dyDescent="0.3">
      <c r="A5" s="117" t="s">
        <v>346</v>
      </c>
      <c r="B5" s="37">
        <v>1</v>
      </c>
    </row>
    <row r="6" spans="1:2" x14ac:dyDescent="0.3">
      <c r="A6" s="117" t="s">
        <v>347</v>
      </c>
      <c r="B6" s="37">
        <v>1</v>
      </c>
    </row>
    <row r="7" spans="1:2" ht="16.2" thickBot="1" x14ac:dyDescent="0.35">
      <c r="A7" s="29" t="s">
        <v>348</v>
      </c>
      <c r="B7" s="3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B7E4-4C81-4B91-B37B-915E590A92F2}">
  <sheetPr>
    <tabColor rgb="FFAFF3DE"/>
  </sheetPr>
  <dimension ref="A1:B6"/>
  <sheetViews>
    <sheetView workbookViewId="0">
      <selection activeCell="A13" sqref="A13"/>
    </sheetView>
  </sheetViews>
  <sheetFormatPr defaultColWidth="9.109375" defaultRowHeight="15.6" x14ac:dyDescent="0.3"/>
  <cols>
    <col min="1" max="1" width="18" style="1" customWidth="1"/>
    <col min="2" max="16384" width="9.109375" style="1"/>
  </cols>
  <sheetData>
    <row r="1" spans="1:2" ht="16.2" thickBot="1" x14ac:dyDescent="0.35">
      <c r="A1" s="1" t="s">
        <v>277</v>
      </c>
    </row>
    <row r="2" spans="1:2" x14ac:dyDescent="0.3">
      <c r="A2" s="6" t="s">
        <v>196</v>
      </c>
      <c r="B2" s="27" t="s">
        <v>44</v>
      </c>
    </row>
    <row r="3" spans="1:2" x14ac:dyDescent="0.3">
      <c r="A3" s="28" t="s">
        <v>133</v>
      </c>
      <c r="B3" s="31">
        <v>0</v>
      </c>
    </row>
    <row r="4" spans="1:2" x14ac:dyDescent="0.3">
      <c r="A4" s="28" t="s">
        <v>134</v>
      </c>
      <c r="B4" s="31">
        <v>1</v>
      </c>
    </row>
    <row r="5" spans="1:2" x14ac:dyDescent="0.3">
      <c r="A5" s="28" t="s">
        <v>135</v>
      </c>
      <c r="B5" s="31">
        <v>0</v>
      </c>
    </row>
    <row r="6" spans="1:2" ht="16.2" thickBot="1" x14ac:dyDescent="0.35">
      <c r="A6" s="29" t="s">
        <v>136</v>
      </c>
      <c r="B6" s="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EBC-B792-4B8A-886B-A98A6A68E8F9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processing cost for sending water to beneficial reuse [",VLOOKUP("currency", Units!$A$2:$B$11, 2, FALSE),"/", VLOOKUP("volume", Units!$A$2:$B$11, 2, FALSE),"]")</f>
        <v>Table with processing cost for sending water to beneficial reuse [USD/bbl]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0066-9C40-4D54-9CAB-C4CFCBEB3031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credit received for sending water to beneficial reuse [",VLOOKUP("currency", Units!$A$2:$B$11, 2, FALSE),"/", VLOOKUP("volume", Units!$A$2:$B$11, 2, FALSE),"]")</f>
        <v>Table with credit received for sending water to beneficial reuse [USD/bbl]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A37-BF8E-46F2-AA7C-FB95F874D0FC}">
  <sheetPr>
    <tabColor rgb="FFAFF3DE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19.33203125" style="1" customWidth="1"/>
    <col min="2" max="16384" width="9.109375" style="1"/>
  </cols>
  <sheetData>
    <row r="1" spans="1:2" ht="16.2" thickBot="1" x14ac:dyDescent="0.35">
      <c r="A1" s="1" t="s">
        <v>278</v>
      </c>
    </row>
    <row r="2" spans="1:2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E38-2D71-4494-ABC1-8D5269A138D9}">
  <sheetPr>
    <tabColor rgb="FFAFF3DE"/>
  </sheetPr>
  <dimension ref="A1:C6"/>
  <sheetViews>
    <sheetView workbookViewId="0">
      <selection activeCell="A13" sqref="A13"/>
    </sheetView>
  </sheetViews>
  <sheetFormatPr defaultColWidth="9.109375" defaultRowHeight="15.6" x14ac:dyDescent="0.3"/>
  <cols>
    <col min="1" max="1" width="24.33203125" style="1" bestFit="1" customWidth="1"/>
    <col min="2" max="2" width="9.5546875" style="1" bestFit="1" customWidth="1"/>
    <col min="3" max="16384" width="9.109375" style="1"/>
  </cols>
  <sheetData>
    <row r="1" spans="1:3" ht="16.2" thickBot="1" x14ac:dyDescent="0.35">
      <c r="A1" s="30" t="s">
        <v>268</v>
      </c>
    </row>
    <row r="2" spans="1:3" x14ac:dyDescent="0.3">
      <c r="A2" s="6" t="s">
        <v>43</v>
      </c>
      <c r="B2" s="27" t="s">
        <v>265</v>
      </c>
    </row>
    <row r="3" spans="1:3" x14ac:dyDescent="0.3">
      <c r="A3" s="28" t="s">
        <v>269</v>
      </c>
      <c r="B3" s="37">
        <v>110</v>
      </c>
    </row>
    <row r="4" spans="1:3" x14ac:dyDescent="0.3">
      <c r="A4" s="28" t="s">
        <v>270</v>
      </c>
      <c r="B4" s="45">
        <v>0.03</v>
      </c>
    </row>
    <row r="5" spans="1:3" x14ac:dyDescent="0.3">
      <c r="A5" s="28" t="s">
        <v>293</v>
      </c>
      <c r="B5" s="37">
        <v>10</v>
      </c>
      <c r="C5" s="1" t="s">
        <v>282</v>
      </c>
    </row>
    <row r="6" spans="1:3" ht="16.2" thickBot="1" x14ac:dyDescent="0.35">
      <c r="A6" s="29" t="s">
        <v>294</v>
      </c>
      <c r="B6" s="39">
        <v>150</v>
      </c>
      <c r="C6" s="1" t="s">
        <v>282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796-71C2-44EA-9373-5A0165D7B559}">
  <sheetPr>
    <tabColor rgb="FFAFF3DE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" style="1" bestFit="1" customWidth="1"/>
    <col min="2" max="16384" width="9.109375" style="1"/>
  </cols>
  <sheetData>
    <row r="1" spans="1:2" ht="16.2" thickBot="1" x14ac:dyDescent="0.35">
      <c r="A1" s="30" t="s">
        <v>271</v>
      </c>
    </row>
    <row r="2" spans="1:2" x14ac:dyDescent="0.3">
      <c r="A2" s="6" t="s">
        <v>43</v>
      </c>
      <c r="B2" s="27" t="s">
        <v>265</v>
      </c>
    </row>
    <row r="3" spans="1:2" x14ac:dyDescent="0.3">
      <c r="A3" s="28" t="s">
        <v>272</v>
      </c>
      <c r="B3" s="45">
        <v>0.08</v>
      </c>
    </row>
    <row r="4" spans="1:2" ht="16.2" thickBot="1" x14ac:dyDescent="0.35">
      <c r="A4" s="29" t="s">
        <v>273</v>
      </c>
      <c r="B4" s="39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319-50F2-4EF7-8D17-26FA0834F1BE}">
  <sheetPr>
    <tabColor theme="8" tint="0.79998168889431442"/>
  </sheetPr>
  <dimension ref="A1:B4"/>
  <sheetViews>
    <sheetView workbookViewId="0">
      <selection activeCell="A6" sqref="A6"/>
    </sheetView>
  </sheetViews>
  <sheetFormatPr defaultColWidth="9.109375" defaultRowHeight="15.6" x14ac:dyDescent="0.3"/>
  <cols>
    <col min="1" max="1" width="25.5546875" style="1" customWidth="1"/>
    <col min="2" max="16384" width="9.109375" style="1"/>
  </cols>
  <sheetData>
    <row r="1" spans="1:2" ht="16.2" thickBot="1" x14ac:dyDescent="0.35">
      <c r="A1" s="1" t="str">
        <f>_xlfn.CONCAT( "Table of Water Quality of External Water Sources [",VLOOKUP("concentration", Units!$A$2:$B$11, 2, FALSE),"]")</f>
        <v>Table of Water Quality of External Water Sources [mg/liter]</v>
      </c>
    </row>
    <row r="2" spans="1:2" x14ac:dyDescent="0.3">
      <c r="A2" s="6" t="s">
        <v>333</v>
      </c>
      <c r="B2" s="57" t="s">
        <v>264</v>
      </c>
    </row>
    <row r="3" spans="1:2" x14ac:dyDescent="0.3">
      <c r="A3" s="58" t="s">
        <v>126</v>
      </c>
      <c r="B3" s="140">
        <v>0</v>
      </c>
    </row>
    <row r="4" spans="1:2" ht="16.2" thickBot="1" x14ac:dyDescent="0.35">
      <c r="A4" s="29" t="s">
        <v>127</v>
      </c>
      <c r="B4" s="141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45F2-617D-4B6C-9AE3-C6E73CF3B321}">
  <sheetPr>
    <tabColor theme="8" tint="0.79998168889431442"/>
  </sheetPr>
  <dimension ref="A1:B18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3" width="12.5546875" style="1" bestFit="1" customWidth="1"/>
    <col min="4" max="4" width="11.6640625" style="1" customWidth="1"/>
    <col min="5" max="5" width="17.33203125" style="1" bestFit="1" customWidth="1"/>
    <col min="6" max="6" width="16.109375" style="1" customWidth="1"/>
    <col min="7" max="7" width="11.44140625" style="1" bestFit="1" customWidth="1"/>
    <col min="8" max="8" width="11" style="1" bestFit="1" customWidth="1"/>
    <col min="9" max="16384" width="9.109375" style="1"/>
  </cols>
  <sheetData>
    <row r="1" spans="1:2" ht="16.2" thickBot="1" x14ac:dyDescent="0.35">
      <c r="A1" s="1" t="str">
        <f>_xlfn.CONCAT( "Table of Water Quality of Produced Water and Flowback Water [",VLOOKUP("concentration", Units!$A$2:$B$11, 2, FALSE),"]")</f>
        <v>Table of Water Quality of Produced Water and Flowback Water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87</v>
      </c>
      <c r="B3" s="59">
        <v>142277</v>
      </c>
    </row>
    <row r="4" spans="1:2" x14ac:dyDescent="0.3">
      <c r="A4" s="28" t="s">
        <v>88</v>
      </c>
      <c r="B4" s="60">
        <v>140998</v>
      </c>
    </row>
    <row r="5" spans="1:2" x14ac:dyDescent="0.3">
      <c r="A5" s="28" t="s">
        <v>89</v>
      </c>
      <c r="B5" s="60">
        <v>172490.2</v>
      </c>
    </row>
    <row r="6" spans="1:2" x14ac:dyDescent="0.3">
      <c r="A6" s="28" t="s">
        <v>90</v>
      </c>
      <c r="B6" s="60">
        <v>257547</v>
      </c>
    </row>
    <row r="7" spans="1:2" x14ac:dyDescent="0.3">
      <c r="A7" s="28" t="s">
        <v>91</v>
      </c>
      <c r="B7" s="60">
        <v>241833.8</v>
      </c>
    </row>
    <row r="8" spans="1:2" x14ac:dyDescent="0.3">
      <c r="A8" s="28" t="s">
        <v>92</v>
      </c>
      <c r="B8" s="60">
        <v>188503.7</v>
      </c>
    </row>
    <row r="9" spans="1:2" x14ac:dyDescent="0.3">
      <c r="A9" s="28" t="s">
        <v>93</v>
      </c>
      <c r="B9" s="60">
        <v>146716</v>
      </c>
    </row>
    <row r="10" spans="1:2" x14ac:dyDescent="0.3">
      <c r="A10" s="28" t="s">
        <v>94</v>
      </c>
      <c r="B10" s="60">
        <v>216563</v>
      </c>
    </row>
    <row r="11" spans="1:2" x14ac:dyDescent="0.3">
      <c r="A11" s="28" t="s">
        <v>95</v>
      </c>
      <c r="B11" s="60">
        <v>150626</v>
      </c>
    </row>
    <row r="12" spans="1:2" x14ac:dyDescent="0.3">
      <c r="A12" s="28" t="s">
        <v>96</v>
      </c>
      <c r="B12" s="60">
        <v>247061</v>
      </c>
    </row>
    <row r="13" spans="1:2" x14ac:dyDescent="0.3">
      <c r="A13" s="28" t="s">
        <v>97</v>
      </c>
      <c r="B13" s="60">
        <v>180968</v>
      </c>
    </row>
    <row r="14" spans="1:2" x14ac:dyDescent="0.3">
      <c r="A14" s="28" t="s">
        <v>98</v>
      </c>
      <c r="B14" s="60">
        <v>195584</v>
      </c>
    </row>
    <row r="15" spans="1:2" x14ac:dyDescent="0.3">
      <c r="A15" s="28" t="s">
        <v>99</v>
      </c>
      <c r="B15" s="60">
        <v>148655</v>
      </c>
    </row>
    <row r="16" spans="1:2" x14ac:dyDescent="0.3">
      <c r="A16" s="83" t="s">
        <v>100</v>
      </c>
      <c r="B16" s="129">
        <v>185369</v>
      </c>
    </row>
    <row r="17" spans="1:2" x14ac:dyDescent="0.3">
      <c r="A17" s="28" t="s">
        <v>117</v>
      </c>
      <c r="B17" s="60">
        <v>165376</v>
      </c>
    </row>
    <row r="18" spans="1:2" ht="16.2" thickBot="1" x14ac:dyDescent="0.35">
      <c r="A18" s="29" t="s">
        <v>118</v>
      </c>
      <c r="B18" s="61">
        <v>240977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AFD-2A94-4164-976F-B9E5B42E5AAB}">
  <sheetPr>
    <tabColor theme="8" tint="0.79998168889431442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Storage [",VLOOKUP("concentration", Units!$A$2:$B$11, 2, FALSE),"]")</f>
        <v>Table of Initial Water Quality at Storage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129</v>
      </c>
      <c r="B3" s="59">
        <v>150000</v>
      </c>
    </row>
    <row r="4" spans="1:2" x14ac:dyDescent="0.3">
      <c r="A4" s="28" t="s">
        <v>130</v>
      </c>
      <c r="B4" s="60">
        <v>150000</v>
      </c>
    </row>
    <row r="5" spans="1:2" ht="16.2" thickBot="1" x14ac:dyDescent="0.35">
      <c r="A5" s="29" t="s">
        <v>131</v>
      </c>
      <c r="B5" s="61">
        <v>150000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136-9628-4654-B8E2-BCFE701B0D1B}">
  <sheetPr>
    <tabColor theme="8" tint="0.79998168889431442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.6640625" style="1" customWidth="1"/>
    <col min="2" max="2" width="12.554687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Completions Pad Storage [",VLOOKUP("concentration", Units!$A$2:$B$11, 2, FALSE),"]")</f>
        <v>Table of Initial Water Quality at Completions Pad Storage [mg/liter]</v>
      </c>
    </row>
    <row r="2" spans="1:2" x14ac:dyDescent="0.3">
      <c r="A2" s="6" t="s">
        <v>187</v>
      </c>
      <c r="B2" s="57" t="s">
        <v>264</v>
      </c>
    </row>
    <row r="3" spans="1:2" x14ac:dyDescent="0.3">
      <c r="A3" s="28" t="s">
        <v>117</v>
      </c>
      <c r="B3" s="60">
        <v>150000</v>
      </c>
    </row>
    <row r="4" spans="1:2" ht="16.2" thickBot="1" x14ac:dyDescent="0.35">
      <c r="A4" s="29" t="s">
        <v>118</v>
      </c>
      <c r="B4" s="61">
        <v>150000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4D24-B920-48A7-99BB-2F031A00A7D9}">
  <sheetPr>
    <tabColor theme="8" tint="0.79998168889431442"/>
  </sheetPr>
  <dimension ref="A1:F7"/>
  <sheetViews>
    <sheetView workbookViewId="0">
      <selection activeCell="A9" sqref="A9"/>
    </sheetView>
  </sheetViews>
  <sheetFormatPr defaultRowHeight="14.4" x14ac:dyDescent="0.3"/>
  <cols>
    <col min="1" max="1" width="36.33203125" customWidth="1"/>
  </cols>
  <sheetData>
    <row r="1" spans="1:6" ht="16.2" thickBot="1" x14ac:dyDescent="0.35">
      <c r="A1" s="1" t="str">
        <f>_xlfn.CONCAT( "Table of Air Emissions Coefficients ")</f>
        <v xml:space="preserve">Table of Air Emissions Coefficients </v>
      </c>
      <c r="B1" s="1"/>
    </row>
    <row r="2" spans="1:6" ht="15.6" x14ac:dyDescent="0.3">
      <c r="A2" s="6" t="s">
        <v>43</v>
      </c>
      <c r="B2" s="7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28" t="str">
        <f>_xlfn.CONCAT("Trucking [", VLOOKUP("mass", Units!A2:B12, 2, FALSE), "/hour]")</f>
        <v>Trucking [g/hour]</v>
      </c>
      <c r="B3" s="163">
        <v>2035000</v>
      </c>
      <c r="C3" s="163">
        <v>35.75</v>
      </c>
      <c r="D3" s="163">
        <v>12649.999999999998</v>
      </c>
      <c r="E3" s="163">
        <v>770.00000000000011</v>
      </c>
      <c r="F3" s="146">
        <v>120.99999999999999</v>
      </c>
    </row>
    <row r="4" spans="1:6" ht="15.6" x14ac:dyDescent="0.3">
      <c r="A4" s="28" t="str">
        <f>_xlfn.CONCAT("Pipeline Operations [", VLOOKUP("mass", Units!A2:B12, 2, FALSE), "/(", VLOOKUP("volume", Units!A2:B12, 2, FALSE), "*", VLOOKUP("distance", Units!A2:B12, 2, FALSE), ")]")</f>
        <v>Pipeline Operations [g/(bbl*mile)]</v>
      </c>
      <c r="B4" s="163">
        <v>22</v>
      </c>
      <c r="C4" s="163">
        <v>2.0000000000000001E-4</v>
      </c>
      <c r="D4" s="163">
        <v>1.4E-2</v>
      </c>
      <c r="E4" s="163">
        <v>7.1000000000000004E-3</v>
      </c>
      <c r="F4" s="146">
        <v>8.5999999999999998E-4</v>
      </c>
    </row>
    <row r="5" spans="1:6" ht="15.6" x14ac:dyDescent="0.3">
      <c r="A5" s="28" t="str">
        <f>_xlfn.CONCAT("Pipeline Installation [", VLOOKUP("mass", Units!A2:B12, 2, FALSE), "/", VLOOKUP("distance", Units!A2:B12, 2, FALSE), "]")</f>
        <v>Pipeline Installation [g/mile]</v>
      </c>
      <c r="B5" s="163">
        <v>310000000</v>
      </c>
      <c r="C5" s="163">
        <v>2800</v>
      </c>
      <c r="D5" s="163">
        <v>190000</v>
      </c>
      <c r="E5" s="163">
        <v>100000</v>
      </c>
      <c r="F5" s="146">
        <v>12000</v>
      </c>
    </row>
    <row r="6" spans="1:6" ht="15.6" x14ac:dyDescent="0.3">
      <c r="A6" s="28" t="str">
        <f>_xlfn.CONCAT("Disposal [", VLOOKUP("mass", Units!A2:B12, 2, FALSE), "/", VLOOKUP("volume", Units!A2:B12, 2, FALSE), "]")</f>
        <v>Disposal [g/bbl]</v>
      </c>
      <c r="B6" s="163">
        <v>970</v>
      </c>
      <c r="C6" s="163">
        <v>0.13</v>
      </c>
      <c r="D6" s="163">
        <v>9.5</v>
      </c>
      <c r="E6" s="163">
        <v>2.8</v>
      </c>
      <c r="F6" s="146">
        <v>0.87</v>
      </c>
    </row>
    <row r="7" spans="1:6" ht="16.2" thickBot="1" x14ac:dyDescent="0.35">
      <c r="A7" s="29" t="str">
        <f>_xlfn.CONCAT("Storage [", VLOOKUP("mass", Units!A2:B12, 2, FALSE), "/(", VLOOKUP("volume", Units!A2:B12, 2, FALSE), "*", VLOOKUP("decision period", Units!A2:B12, 2, FALSE), ")]")</f>
        <v>Storage [g/(bbl*week)]</v>
      </c>
      <c r="B7" s="164">
        <v>1000</v>
      </c>
      <c r="C7" s="164">
        <v>1.2E-2</v>
      </c>
      <c r="D7" s="164">
        <v>2</v>
      </c>
      <c r="E7" s="164">
        <v>0.65</v>
      </c>
      <c r="F7" s="148">
        <v>7.5999999999999998E-2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2216-17ED-439D-80C1-09B10BB56D61}">
  <sheetPr>
    <tabColor theme="8" tint="0.79998168889431442"/>
  </sheetPr>
  <dimension ref="A1:F7"/>
  <sheetViews>
    <sheetView workbookViewId="0">
      <selection activeCell="A3" sqref="A3:F7"/>
    </sheetView>
  </sheetViews>
  <sheetFormatPr defaultRowHeight="14.4" x14ac:dyDescent="0.3"/>
  <cols>
    <col min="1" max="1" width="29.88671875" customWidth="1"/>
  </cols>
  <sheetData>
    <row r="1" spans="1:6" ht="16.2" thickBot="1" x14ac:dyDescent="0.35">
      <c r="A1" s="1" t="str">
        <f>_xlfn.CONCAT("Table of Air Emissions Coefficients for Treatment Technologies [", VLOOKUP("mass", Units!A2:B12, 2, FALSE), "/", VLOOKUP("volume", Units!A2:B12, 2, FALSE), "]")</f>
        <v>Table of Air Emissions Coefficients for Treatment Technologies [g/bbl]</v>
      </c>
      <c r="B1" s="1"/>
    </row>
    <row r="2" spans="1:6" ht="15.6" x14ac:dyDescent="0.3">
      <c r="A2" s="165" t="s">
        <v>259</v>
      </c>
      <c r="B2" s="112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145" t="s">
        <v>137</v>
      </c>
      <c r="B3" s="163">
        <v>9600</v>
      </c>
      <c r="C3" s="163">
        <v>1.45</v>
      </c>
      <c r="D3" s="163">
        <v>12.8</v>
      </c>
      <c r="E3" s="163">
        <v>13.5</v>
      </c>
      <c r="F3" s="146">
        <v>1.5</v>
      </c>
    </row>
    <row r="4" spans="1:6" ht="15.6" x14ac:dyDescent="0.3">
      <c r="A4" s="145" t="s">
        <v>138</v>
      </c>
      <c r="B4" s="163">
        <v>9600</v>
      </c>
      <c r="C4" s="163">
        <v>1.45</v>
      </c>
      <c r="D4" s="163">
        <v>12.8</v>
      </c>
      <c r="E4" s="163">
        <v>13.5</v>
      </c>
      <c r="F4" s="146">
        <v>1.5</v>
      </c>
    </row>
    <row r="5" spans="1:6" ht="15.6" x14ac:dyDescent="0.3">
      <c r="A5" s="145" t="s">
        <v>346</v>
      </c>
      <c r="B5" s="163">
        <v>9600</v>
      </c>
      <c r="C5" s="163">
        <v>1.45</v>
      </c>
      <c r="D5" s="163">
        <v>12.8</v>
      </c>
      <c r="E5" s="163">
        <v>13.5</v>
      </c>
      <c r="F5" s="146">
        <v>1.5</v>
      </c>
    </row>
    <row r="6" spans="1:6" ht="15.6" x14ac:dyDescent="0.3">
      <c r="A6" s="145" t="s">
        <v>347</v>
      </c>
      <c r="B6" s="163">
        <v>9600</v>
      </c>
      <c r="C6" s="163">
        <v>1.45</v>
      </c>
      <c r="D6" s="163">
        <v>12.8</v>
      </c>
      <c r="E6" s="163">
        <v>13.5</v>
      </c>
      <c r="F6" s="146">
        <v>1.5</v>
      </c>
    </row>
    <row r="7" spans="1:6" ht="16.2" thickBot="1" x14ac:dyDescent="0.35">
      <c r="A7" s="147" t="s">
        <v>348</v>
      </c>
      <c r="B7" s="164">
        <v>9600</v>
      </c>
      <c r="C7" s="164">
        <v>1.45</v>
      </c>
      <c r="D7" s="164">
        <v>12.8</v>
      </c>
      <c r="E7" s="164">
        <v>13.5</v>
      </c>
      <c r="F7" s="148">
        <v>1.5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372-561D-40F0-A559-919B07A104BB}">
  <sheetPr>
    <tabColor theme="0"/>
  </sheetPr>
  <dimension ref="A1:F22"/>
  <sheetViews>
    <sheetView workbookViewId="0">
      <selection activeCell="G30" sqref="G30"/>
    </sheetView>
  </sheetViews>
  <sheetFormatPr defaultRowHeight="14.4" x14ac:dyDescent="0.3"/>
  <sheetData>
    <row r="1" spans="1:6" ht="16.2" thickBot="1" x14ac:dyDescent="0.35">
      <c r="A1" s="1" t="str">
        <f>_xlfn.CONCAT( "Table of Treatment Expansion Lead Time [",VLOOKUP("decision period", Units!$A$2:$B$11, 2, FALSE),"s]")</f>
        <v>Table of Treatment Expansion Lead Time [weeks]</v>
      </c>
      <c r="B1" s="1"/>
      <c r="C1" s="1"/>
      <c r="D1" s="1"/>
      <c r="E1" s="1"/>
      <c r="F1" s="1"/>
    </row>
    <row r="2" spans="1:6" ht="15.6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ht="15.6" x14ac:dyDescent="0.3">
      <c r="A3" s="28" t="s">
        <v>133</v>
      </c>
      <c r="B3" s="89" t="s">
        <v>137</v>
      </c>
      <c r="C3" s="36">
        <v>0</v>
      </c>
      <c r="D3" s="36">
        <v>68</v>
      </c>
      <c r="E3" s="36">
        <v>70</v>
      </c>
      <c r="F3" s="37">
        <v>72</v>
      </c>
    </row>
    <row r="4" spans="1:6" ht="15.6" x14ac:dyDescent="0.3">
      <c r="A4" s="28" t="s">
        <v>134</v>
      </c>
      <c r="B4" s="89" t="s">
        <v>137</v>
      </c>
      <c r="C4" s="36">
        <v>0</v>
      </c>
      <c r="D4" s="36">
        <v>68</v>
      </c>
      <c r="E4" s="36">
        <v>70</v>
      </c>
      <c r="F4" s="37">
        <v>72</v>
      </c>
    </row>
    <row r="5" spans="1:6" ht="15.6" x14ac:dyDescent="0.3">
      <c r="A5" s="28" t="s">
        <v>135</v>
      </c>
      <c r="B5" s="89" t="s">
        <v>137</v>
      </c>
      <c r="C5" s="36">
        <v>0</v>
      </c>
      <c r="D5" s="36">
        <v>68</v>
      </c>
      <c r="E5" s="36">
        <v>70</v>
      </c>
      <c r="F5" s="37">
        <v>72</v>
      </c>
    </row>
    <row r="6" spans="1:6" ht="15.6" x14ac:dyDescent="0.3">
      <c r="A6" s="83" t="s">
        <v>136</v>
      </c>
      <c r="B6" s="115" t="s">
        <v>137</v>
      </c>
      <c r="C6" s="130">
        <v>0</v>
      </c>
      <c r="D6" s="116">
        <v>68</v>
      </c>
      <c r="E6" s="116">
        <v>70</v>
      </c>
      <c r="F6" s="84">
        <v>72</v>
      </c>
    </row>
    <row r="7" spans="1:6" ht="15.6" x14ac:dyDescent="0.3">
      <c r="A7" s="28" t="s">
        <v>133</v>
      </c>
      <c r="B7" s="89" t="s">
        <v>138</v>
      </c>
      <c r="C7" s="36">
        <v>0</v>
      </c>
      <c r="D7" s="36">
        <v>68</v>
      </c>
      <c r="E7" s="36">
        <v>70</v>
      </c>
      <c r="F7" s="37">
        <v>72</v>
      </c>
    </row>
    <row r="8" spans="1:6" ht="15.6" x14ac:dyDescent="0.3">
      <c r="A8" s="28" t="s">
        <v>134</v>
      </c>
      <c r="B8" s="89" t="s">
        <v>138</v>
      </c>
      <c r="C8" s="36">
        <v>0</v>
      </c>
      <c r="D8" s="36">
        <v>68</v>
      </c>
      <c r="E8" s="36">
        <v>70</v>
      </c>
      <c r="F8" s="37">
        <v>72</v>
      </c>
    </row>
    <row r="9" spans="1:6" ht="15.6" x14ac:dyDescent="0.3">
      <c r="A9" s="28" t="s">
        <v>135</v>
      </c>
      <c r="B9" s="89" t="s">
        <v>138</v>
      </c>
      <c r="C9" s="36">
        <v>0</v>
      </c>
      <c r="D9" s="36">
        <v>68</v>
      </c>
      <c r="E9" s="36">
        <v>70</v>
      </c>
      <c r="F9" s="37">
        <v>72</v>
      </c>
    </row>
    <row r="10" spans="1:6" ht="15.6" x14ac:dyDescent="0.3">
      <c r="A10" s="83" t="s">
        <v>136</v>
      </c>
      <c r="B10" s="115" t="s">
        <v>138</v>
      </c>
      <c r="C10" s="130">
        <v>0</v>
      </c>
      <c r="D10" s="116">
        <v>68</v>
      </c>
      <c r="E10" s="116">
        <v>70</v>
      </c>
      <c r="F10" s="84">
        <v>72</v>
      </c>
    </row>
    <row r="11" spans="1:6" ht="15.6" x14ac:dyDescent="0.3">
      <c r="A11" s="28" t="s">
        <v>133</v>
      </c>
      <c r="B11" s="89" t="s">
        <v>346</v>
      </c>
      <c r="C11" s="36">
        <v>0</v>
      </c>
      <c r="D11" s="36">
        <v>68</v>
      </c>
      <c r="E11" s="36">
        <v>70</v>
      </c>
      <c r="F11" s="37">
        <v>72</v>
      </c>
    </row>
    <row r="12" spans="1:6" ht="15.6" x14ac:dyDescent="0.3">
      <c r="A12" s="28" t="s">
        <v>134</v>
      </c>
      <c r="B12" s="89" t="s">
        <v>346</v>
      </c>
      <c r="C12" s="36">
        <v>0</v>
      </c>
      <c r="D12" s="36">
        <v>68</v>
      </c>
      <c r="E12" s="36">
        <v>70</v>
      </c>
      <c r="F12" s="37">
        <v>72</v>
      </c>
    </row>
    <row r="13" spans="1:6" ht="15.6" x14ac:dyDescent="0.3">
      <c r="A13" s="28" t="s">
        <v>135</v>
      </c>
      <c r="B13" s="89" t="s">
        <v>346</v>
      </c>
      <c r="C13" s="36">
        <v>0</v>
      </c>
      <c r="D13" s="36">
        <v>68</v>
      </c>
      <c r="E13" s="36">
        <v>70</v>
      </c>
      <c r="F13" s="37">
        <v>72</v>
      </c>
    </row>
    <row r="14" spans="1:6" ht="15.6" x14ac:dyDescent="0.3">
      <c r="A14" s="83" t="s">
        <v>136</v>
      </c>
      <c r="B14" s="115" t="s">
        <v>346</v>
      </c>
      <c r="C14" s="130">
        <v>0</v>
      </c>
      <c r="D14" s="116">
        <v>68</v>
      </c>
      <c r="E14" s="116">
        <v>70</v>
      </c>
      <c r="F14" s="84">
        <v>72</v>
      </c>
    </row>
    <row r="15" spans="1:6" ht="15.6" x14ac:dyDescent="0.3">
      <c r="A15" s="28" t="s">
        <v>133</v>
      </c>
      <c r="B15" s="89" t="s">
        <v>347</v>
      </c>
      <c r="C15" s="36">
        <v>0</v>
      </c>
      <c r="D15" s="36">
        <v>68</v>
      </c>
      <c r="E15" s="36">
        <v>70</v>
      </c>
      <c r="F15" s="37">
        <v>72</v>
      </c>
    </row>
    <row r="16" spans="1:6" ht="15.6" x14ac:dyDescent="0.3">
      <c r="A16" s="28" t="s">
        <v>134</v>
      </c>
      <c r="B16" s="89" t="s">
        <v>347</v>
      </c>
      <c r="C16" s="36">
        <v>0</v>
      </c>
      <c r="D16" s="36">
        <v>68</v>
      </c>
      <c r="E16" s="36">
        <v>70</v>
      </c>
      <c r="F16" s="37">
        <v>72</v>
      </c>
    </row>
    <row r="17" spans="1:6" ht="15.6" x14ac:dyDescent="0.3">
      <c r="A17" s="28" t="s">
        <v>135</v>
      </c>
      <c r="B17" s="89" t="s">
        <v>347</v>
      </c>
      <c r="C17" s="36">
        <v>0</v>
      </c>
      <c r="D17" s="36">
        <v>68</v>
      </c>
      <c r="E17" s="36">
        <v>70</v>
      </c>
      <c r="F17" s="37">
        <v>72</v>
      </c>
    </row>
    <row r="18" spans="1:6" ht="15.6" x14ac:dyDescent="0.3">
      <c r="A18" s="83" t="s">
        <v>136</v>
      </c>
      <c r="B18" s="115" t="s">
        <v>347</v>
      </c>
      <c r="C18" s="130">
        <v>0</v>
      </c>
      <c r="D18" s="116">
        <v>68</v>
      </c>
      <c r="E18" s="116">
        <v>70</v>
      </c>
      <c r="F18" s="84">
        <v>72</v>
      </c>
    </row>
    <row r="19" spans="1:6" ht="15.6" x14ac:dyDescent="0.3">
      <c r="A19" s="28" t="s">
        <v>133</v>
      </c>
      <c r="B19" s="89" t="s">
        <v>348</v>
      </c>
      <c r="C19" s="36">
        <v>0</v>
      </c>
      <c r="D19" s="36">
        <v>68</v>
      </c>
      <c r="E19" s="36">
        <v>70</v>
      </c>
      <c r="F19" s="37">
        <v>72</v>
      </c>
    </row>
    <row r="20" spans="1:6" ht="15.6" x14ac:dyDescent="0.3">
      <c r="A20" s="28" t="s">
        <v>134</v>
      </c>
      <c r="B20" s="89" t="s">
        <v>348</v>
      </c>
      <c r="C20" s="36">
        <v>0</v>
      </c>
      <c r="D20" s="36">
        <v>68</v>
      </c>
      <c r="E20" s="36">
        <v>70</v>
      </c>
      <c r="F20" s="37">
        <v>72</v>
      </c>
    </row>
    <row r="21" spans="1:6" ht="15.6" x14ac:dyDescent="0.3">
      <c r="A21" s="28" t="s">
        <v>135</v>
      </c>
      <c r="B21" s="89" t="s">
        <v>348</v>
      </c>
      <c r="C21" s="36">
        <v>0</v>
      </c>
      <c r="D21" s="36">
        <v>68</v>
      </c>
      <c r="E21" s="36">
        <v>70</v>
      </c>
      <c r="F21" s="37">
        <v>72</v>
      </c>
    </row>
    <row r="22" spans="1:6" ht="16.2" thickBot="1" x14ac:dyDescent="0.35">
      <c r="A22" s="29" t="s">
        <v>136</v>
      </c>
      <c r="B22" s="111" t="s">
        <v>348</v>
      </c>
      <c r="C22" s="38">
        <v>0</v>
      </c>
      <c r="D22" s="38">
        <v>68</v>
      </c>
      <c r="E22" s="38">
        <v>70</v>
      </c>
      <c r="F22" s="39">
        <v>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E531-B1A6-4FB1-B54F-4F29B07D584D}">
  <sheetPr>
    <tabColor theme="0"/>
  </sheetPr>
  <dimension ref="A1:C7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Disposal Expansion Lead Time [",VLOOKUP("decision period", Units!$A$2:$B$11, 2, FALSE),"s]")</f>
        <v>Table of Disposal Expansion Lead Time [weeks]</v>
      </c>
      <c r="B1" s="1"/>
      <c r="C1" s="1"/>
    </row>
    <row r="2" spans="1:3" ht="15.6" x14ac:dyDescent="0.3">
      <c r="A2" s="6" t="s">
        <v>257</v>
      </c>
      <c r="B2" s="7" t="s">
        <v>182</v>
      </c>
      <c r="C2" s="27" t="s">
        <v>183</v>
      </c>
    </row>
    <row r="3" spans="1:3" ht="15.6" x14ac:dyDescent="0.3">
      <c r="A3" s="28" t="s">
        <v>121</v>
      </c>
      <c r="B3" s="36">
        <v>0</v>
      </c>
      <c r="C3" s="37">
        <v>45</v>
      </c>
    </row>
    <row r="4" spans="1:3" ht="15.6" x14ac:dyDescent="0.3">
      <c r="A4" s="28" t="s">
        <v>122</v>
      </c>
      <c r="B4" s="36">
        <v>0</v>
      </c>
      <c r="C4" s="37">
        <v>45</v>
      </c>
    </row>
    <row r="5" spans="1:3" ht="15.6" x14ac:dyDescent="0.3">
      <c r="A5" s="28" t="s">
        <v>123</v>
      </c>
      <c r="B5" s="36">
        <v>0</v>
      </c>
      <c r="C5" s="37">
        <v>45</v>
      </c>
    </row>
    <row r="6" spans="1:3" ht="15.6" x14ac:dyDescent="0.3">
      <c r="A6" s="28" t="s">
        <v>124</v>
      </c>
      <c r="B6" s="36">
        <v>0</v>
      </c>
      <c r="C6" s="37">
        <v>45</v>
      </c>
    </row>
    <row r="7" spans="1:3" ht="16.2" thickBot="1" x14ac:dyDescent="0.35">
      <c r="A7" s="29" t="s">
        <v>125</v>
      </c>
      <c r="B7" s="38">
        <v>0</v>
      </c>
      <c r="C7" s="39">
        <v>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A12E-8B05-4366-A90E-CF297972EC8F}">
  <sheetPr>
    <tabColor theme="0"/>
  </sheetPr>
  <dimension ref="A1:C5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Storage Expansion Lead Time [",VLOOKUP("decision period", Units!$A$2:$B$11, 2, FALSE),"s]")</f>
        <v>Table of Storage Expansion Lead Time [weeks]</v>
      </c>
      <c r="B1" s="1"/>
      <c r="C1" s="1"/>
    </row>
    <row r="2" spans="1:3" ht="15.6" x14ac:dyDescent="0.3">
      <c r="A2" s="6" t="s">
        <v>198</v>
      </c>
      <c r="B2" s="86" t="s">
        <v>174</v>
      </c>
      <c r="C2" s="27" t="s">
        <v>175</v>
      </c>
    </row>
    <row r="3" spans="1:3" ht="15.6" x14ac:dyDescent="0.3">
      <c r="A3" s="28" t="s">
        <v>129</v>
      </c>
      <c r="B3" s="36">
        <v>0</v>
      </c>
      <c r="C3" s="37">
        <v>90</v>
      </c>
    </row>
    <row r="4" spans="1:3" ht="15.6" x14ac:dyDescent="0.3">
      <c r="A4" s="28" t="s">
        <v>130</v>
      </c>
      <c r="B4" s="36">
        <v>0</v>
      </c>
      <c r="C4" s="37">
        <v>90</v>
      </c>
    </row>
    <row r="5" spans="1:3" ht="16.2" thickBot="1" x14ac:dyDescent="0.35">
      <c r="A5" s="29" t="s">
        <v>131</v>
      </c>
      <c r="B5" s="38">
        <v>0</v>
      </c>
      <c r="C5" s="39">
        <v>90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FE6-8AD4-4F61-8FD9-8C39A28FF436}">
  <sheetPr>
    <tabColor theme="0"/>
  </sheetPr>
  <dimension ref="A1:B3"/>
  <sheetViews>
    <sheetView workbookViewId="0">
      <selection activeCell="A5" sqref="A5"/>
    </sheetView>
  </sheetViews>
  <sheetFormatPr defaultRowHeight="14.4" x14ac:dyDescent="0.3"/>
  <cols>
    <col min="1" max="1" width="32.6640625" customWidth="1"/>
  </cols>
  <sheetData>
    <row r="1" spans="1:2" ht="16.2" thickBot="1" x14ac:dyDescent="0.35">
      <c r="A1" s="1" t="str">
        <f>_xlfn.CONCAT( "Table of Pipeline Expansion Lead Time - Distance Based [",VLOOKUP("decision period", Units!$A$2:$B$11, 2, FALSE),"s/",VLOOKUP("distance", Units!$A$2:$B$11, 2, FALSE),"]")</f>
        <v>Table of Pipeline Expansion Lead Time - Distance Based [weeks/mile]</v>
      </c>
    </row>
    <row r="2" spans="1:2" ht="15.6" x14ac:dyDescent="0.3">
      <c r="A2" s="6" t="s">
        <v>43</v>
      </c>
      <c r="B2" s="27" t="s">
        <v>265</v>
      </c>
    </row>
    <row r="3" spans="1:2" ht="16.2" thickBot="1" x14ac:dyDescent="0.35">
      <c r="A3" s="29" t="s">
        <v>304</v>
      </c>
      <c r="B3" s="131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1092-61FC-49E2-8B87-F024EB93CA2E}">
  <sheetPr>
    <tabColor theme="0"/>
  </sheetPr>
  <dimension ref="A1:E6"/>
  <sheetViews>
    <sheetView workbookViewId="0"/>
  </sheetViews>
  <sheetFormatPr defaultRowHeight="14.4" x14ac:dyDescent="0.3"/>
  <sheetData>
    <row r="1" spans="1:5" ht="16.2" thickBot="1" x14ac:dyDescent="0.35">
      <c r="A1" s="1" t="str">
        <f>_xlfn.CONCAT( "Table of Pipeline Expansion Lead Time - Capacity Based [",VLOOKUP("decision period", Units!$A$2:$B$11, 2, FALSE),"s/",VLOOKUP("distance", Units!$A$2:$B$11, 2, FALSE),"]")</f>
        <v>Table of Pipeline Expansion Lead Time - Capacity Based [weeks/mile]</v>
      </c>
      <c r="B1" s="1"/>
      <c r="C1" s="1"/>
      <c r="D1" s="1"/>
    </row>
    <row r="2" spans="1:5" ht="15.6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ht="15.6" x14ac:dyDescent="0.3">
      <c r="A3" s="28" t="s">
        <v>150</v>
      </c>
      <c r="B3" s="51" t="s">
        <v>152</v>
      </c>
      <c r="C3" s="52">
        <v>0</v>
      </c>
      <c r="D3" s="52">
        <v>1</v>
      </c>
      <c r="E3" s="53">
        <v>2</v>
      </c>
    </row>
    <row r="4" spans="1:5" ht="15.6" x14ac:dyDescent="0.3">
      <c r="A4" s="28" t="s">
        <v>152</v>
      </c>
      <c r="B4" s="51" t="s">
        <v>150</v>
      </c>
      <c r="C4" s="52">
        <v>0</v>
      </c>
      <c r="D4" s="52">
        <v>1</v>
      </c>
      <c r="E4" s="53">
        <v>2</v>
      </c>
    </row>
    <row r="5" spans="1:5" ht="15.6" x14ac:dyDescent="0.3">
      <c r="A5" s="28" t="s">
        <v>149</v>
      </c>
      <c r="B5" s="51" t="s">
        <v>151</v>
      </c>
      <c r="C5" s="52">
        <v>0</v>
      </c>
      <c r="D5" s="52">
        <v>1</v>
      </c>
      <c r="E5" s="53">
        <v>2</v>
      </c>
    </row>
    <row r="6" spans="1:5" ht="16.2" thickBot="1" x14ac:dyDescent="0.35">
      <c r="A6" s="29" t="s">
        <v>151</v>
      </c>
      <c r="B6" s="54" t="s">
        <v>149</v>
      </c>
      <c r="C6" s="55">
        <v>0</v>
      </c>
      <c r="D6" s="55">
        <v>1</v>
      </c>
      <c r="E6" s="56">
        <v>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B0B-6059-4A0E-ABAB-10B47FB80033}">
  <sheetPr>
    <tabColor theme="1" tint="0.499984740745262"/>
  </sheetPr>
  <dimension ref="A1:B7"/>
  <sheetViews>
    <sheetView workbookViewId="0">
      <selection activeCell="H10" sqref="H10"/>
    </sheetView>
  </sheetViews>
  <sheetFormatPr defaultColWidth="9.109375" defaultRowHeight="15.6" x14ac:dyDescent="0.3"/>
  <cols>
    <col min="1" max="1" width="11.109375" style="1" customWidth="1"/>
    <col min="2" max="16384" width="9.109375" style="1"/>
  </cols>
  <sheetData>
    <row r="1" spans="1:2" ht="16.2" thickBot="1" x14ac:dyDescent="0.35">
      <c r="A1" s="1" t="s">
        <v>307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5" t="s">
        <v>121</v>
      </c>
      <c r="B3" s="146">
        <v>1</v>
      </c>
    </row>
    <row r="4" spans="1:2" x14ac:dyDescent="0.3">
      <c r="A4" s="145" t="s">
        <v>122</v>
      </c>
      <c r="B4" s="146">
        <v>1</v>
      </c>
    </row>
    <row r="5" spans="1:2" x14ac:dyDescent="0.3">
      <c r="A5" s="145" t="s">
        <v>123</v>
      </c>
      <c r="B5" s="146">
        <v>1</v>
      </c>
    </row>
    <row r="6" spans="1:2" x14ac:dyDescent="0.3">
      <c r="A6" s="145" t="s">
        <v>124</v>
      </c>
      <c r="B6" s="146">
        <v>1</v>
      </c>
    </row>
    <row r="7" spans="1:2" ht="16.2" thickBot="1" x14ac:dyDescent="0.35">
      <c r="A7" s="147" t="s">
        <v>125</v>
      </c>
      <c r="B7" s="148">
        <v>0</v>
      </c>
    </row>
  </sheetData>
  <phoneticPr fontId="2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5BC-F83A-4EEC-B7B3-A05CB25D767F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308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9" t="s">
        <v>121</v>
      </c>
      <c r="B3" s="60">
        <v>0.53</v>
      </c>
    </row>
    <row r="4" spans="1:2" x14ac:dyDescent="0.3">
      <c r="A4" s="149" t="s">
        <v>122</v>
      </c>
      <c r="B4" s="60">
        <v>0.53</v>
      </c>
    </row>
    <row r="5" spans="1:2" x14ac:dyDescent="0.3">
      <c r="A5" s="149" t="s">
        <v>123</v>
      </c>
      <c r="B5" s="60">
        <v>0.53438082767110195</v>
      </c>
    </row>
    <row r="6" spans="1:2" x14ac:dyDescent="0.3">
      <c r="A6" s="149" t="s">
        <v>124</v>
      </c>
      <c r="B6" s="60">
        <v>0.53438082767110195</v>
      </c>
    </row>
    <row r="7" spans="1:2" ht="16.2" thickBot="1" x14ac:dyDescent="0.35">
      <c r="A7" s="150" t="s">
        <v>125</v>
      </c>
      <c r="B7" s="61">
        <v>0.69925391582478724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C72C-FA2D-415C-8B01-36FA6333789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2.33203125" style="1" customWidth="1"/>
    <col min="2" max="16384" width="9.109375" style="1"/>
  </cols>
  <sheetData>
    <row r="1" spans="1:2" ht="16.2" thickBot="1" x14ac:dyDescent="0.35">
      <c r="A1" s="1" t="s">
        <v>309</v>
      </c>
    </row>
    <row r="2" spans="1:2" ht="16.2" thickBot="1" x14ac:dyDescent="0.35">
      <c r="A2" s="151" t="s">
        <v>257</v>
      </c>
      <c r="B2" s="152" t="s">
        <v>265</v>
      </c>
    </row>
    <row r="3" spans="1:2" x14ac:dyDescent="0.3">
      <c r="A3" s="153" t="s">
        <v>121</v>
      </c>
      <c r="B3" s="154">
        <v>0.76</v>
      </c>
    </row>
    <row r="4" spans="1:2" x14ac:dyDescent="0.3">
      <c r="A4" s="153" t="s">
        <v>122</v>
      </c>
      <c r="B4" s="154">
        <v>0.21</v>
      </c>
    </row>
    <row r="5" spans="1:2" x14ac:dyDescent="0.3">
      <c r="A5" s="153" t="s">
        <v>123</v>
      </c>
      <c r="B5" s="154">
        <v>0.18</v>
      </c>
    </row>
    <row r="6" spans="1:2" x14ac:dyDescent="0.3">
      <c r="A6" s="153" t="s">
        <v>124</v>
      </c>
      <c r="B6" s="154">
        <v>0.33</v>
      </c>
    </row>
    <row r="7" spans="1:2" ht="16.2" thickBot="1" x14ac:dyDescent="0.35">
      <c r="A7" s="155" t="s">
        <v>125</v>
      </c>
      <c r="B7" s="156">
        <v>0.3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431B-18F2-4461-8FC6-A29F2FC5FE23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5546875" style="1" customWidth="1"/>
    <col min="2" max="16384" width="9.109375" style="1"/>
  </cols>
  <sheetData>
    <row r="1" spans="1:2" ht="16.2" thickBot="1" x14ac:dyDescent="0.35">
      <c r="A1" s="1" t="s">
        <v>310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0.81</v>
      </c>
    </row>
    <row r="4" spans="1:2" x14ac:dyDescent="0.3">
      <c r="A4" s="159" t="s">
        <v>122</v>
      </c>
      <c r="B4" s="160">
        <v>0.38</v>
      </c>
    </row>
    <row r="5" spans="1:2" x14ac:dyDescent="0.3">
      <c r="A5" s="159" t="s">
        <v>123</v>
      </c>
      <c r="B5" s="160">
        <v>0.87</v>
      </c>
    </row>
    <row r="6" spans="1:2" x14ac:dyDescent="0.3">
      <c r="A6" s="159" t="s">
        <v>124</v>
      </c>
      <c r="B6" s="160">
        <v>0.7</v>
      </c>
    </row>
    <row r="7" spans="1:2" ht="16.2" thickBot="1" x14ac:dyDescent="0.35">
      <c r="A7" s="161" t="s">
        <v>125</v>
      </c>
      <c r="B7" s="162">
        <v>1.81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C73E-D6E2-487A-A2DB-930BB8939764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33203125" style="1" customWidth="1"/>
    <col min="2" max="16384" width="9.109375" style="1"/>
  </cols>
  <sheetData>
    <row r="1" spans="1:2" ht="16.2" thickBot="1" x14ac:dyDescent="0.35">
      <c r="A1" s="1" t="s">
        <v>311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1.01</v>
      </c>
    </row>
    <row r="4" spans="1:2" x14ac:dyDescent="0.3">
      <c r="A4" s="159" t="s">
        <v>122</v>
      </c>
      <c r="B4" s="160">
        <v>5.4</v>
      </c>
    </row>
    <row r="5" spans="1:2" x14ac:dyDescent="0.3">
      <c r="A5" s="159" t="s">
        <v>123</v>
      </c>
      <c r="B5" s="160">
        <v>1.01</v>
      </c>
    </row>
    <row r="6" spans="1:2" x14ac:dyDescent="0.3">
      <c r="A6" s="159" t="s">
        <v>124</v>
      </c>
      <c r="B6" s="160">
        <v>3.22</v>
      </c>
    </row>
    <row r="7" spans="1:2" ht="16.2" thickBot="1" x14ac:dyDescent="0.35">
      <c r="A7" s="161" t="s">
        <v>125</v>
      </c>
      <c r="B7" s="162">
        <v>5.17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2C4-5663-4A73-9E9A-FF3E8B0F5B2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" style="1" customWidth="1"/>
    <col min="2" max="16384" width="9.109375" style="1"/>
  </cols>
  <sheetData>
    <row r="1" spans="1:2" ht="16.2" thickBot="1" x14ac:dyDescent="0.35">
      <c r="A1" s="1" t="s">
        <v>312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2.95</v>
      </c>
    </row>
    <row r="4" spans="1:2" x14ac:dyDescent="0.3">
      <c r="A4" s="159" t="s">
        <v>122</v>
      </c>
      <c r="B4" s="160">
        <v>4.16</v>
      </c>
    </row>
    <row r="5" spans="1:2" x14ac:dyDescent="0.3">
      <c r="A5" s="159" t="s">
        <v>123</v>
      </c>
      <c r="B5" s="160">
        <v>0.25</v>
      </c>
    </row>
    <row r="6" spans="1:2" x14ac:dyDescent="0.3">
      <c r="A6" s="159" t="s">
        <v>124</v>
      </c>
      <c r="B6" s="160">
        <v>0.78</v>
      </c>
    </row>
    <row r="7" spans="1:2" ht="16.2" thickBot="1" x14ac:dyDescent="0.35">
      <c r="A7" s="161" t="s">
        <v>125</v>
      </c>
      <c r="B7" s="162">
        <v>2.1800000000000002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EAD-864E-4569-8B46-DC1E200F915E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313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0.31</v>
      </c>
    </row>
    <row r="4" spans="1:2" x14ac:dyDescent="0.3">
      <c r="A4" s="159" t="s">
        <v>122</v>
      </c>
      <c r="B4" s="160">
        <v>3.81</v>
      </c>
    </row>
    <row r="5" spans="1:2" x14ac:dyDescent="0.3">
      <c r="A5" s="159" t="s">
        <v>123</v>
      </c>
      <c r="B5" s="160">
        <v>1.96</v>
      </c>
    </row>
    <row r="6" spans="1:2" x14ac:dyDescent="0.3">
      <c r="A6" s="159" t="s">
        <v>124</v>
      </c>
      <c r="B6" s="160">
        <v>1.76</v>
      </c>
    </row>
    <row r="7" spans="1:2" ht="16.2" thickBot="1" x14ac:dyDescent="0.35">
      <c r="A7" s="161" t="s">
        <v>125</v>
      </c>
      <c r="B7" s="162">
        <v>1.68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522-462D-4325-824D-2B66A4ABA069}">
  <sheetPr>
    <tabColor theme="1" tint="0.499984740745262"/>
  </sheetPr>
  <dimension ref="A1:C14"/>
  <sheetViews>
    <sheetView workbookViewId="0">
      <selection activeCell="A16" sqref="A16"/>
    </sheetView>
  </sheetViews>
  <sheetFormatPr defaultColWidth="9.109375" defaultRowHeight="15.6" x14ac:dyDescent="0.3"/>
  <cols>
    <col min="1" max="1" width="34.6640625" style="1" bestFit="1" customWidth="1"/>
    <col min="2" max="16384" width="9.109375" style="1"/>
  </cols>
  <sheetData>
    <row r="1" spans="1:3" ht="16.2" thickBot="1" x14ac:dyDescent="0.35">
      <c r="A1" s="132" t="s">
        <v>314</v>
      </c>
      <c r="B1" s="133"/>
      <c r="C1" s="133"/>
    </row>
    <row r="2" spans="1:3" x14ac:dyDescent="0.3">
      <c r="A2" s="134" t="s">
        <v>43</v>
      </c>
      <c r="B2" s="135" t="s">
        <v>265</v>
      </c>
      <c r="C2" s="133"/>
    </row>
    <row r="3" spans="1:3" x14ac:dyDescent="0.3">
      <c r="A3" s="136" t="s">
        <v>315</v>
      </c>
      <c r="B3" s="137">
        <v>1.86</v>
      </c>
      <c r="C3" s="133"/>
    </row>
    <row r="4" spans="1:3" x14ac:dyDescent="0.3">
      <c r="A4" s="136" t="s">
        <v>316</v>
      </c>
      <c r="B4" s="137">
        <v>2</v>
      </c>
      <c r="C4" s="133"/>
    </row>
    <row r="5" spans="1:3" x14ac:dyDescent="0.3">
      <c r="A5" s="136" t="s">
        <v>317</v>
      </c>
      <c r="B5" s="137">
        <v>1.86</v>
      </c>
      <c r="C5" s="133"/>
    </row>
    <row r="6" spans="1:3" x14ac:dyDescent="0.3">
      <c r="A6" s="136" t="s">
        <v>318</v>
      </c>
      <c r="B6" s="137">
        <v>2</v>
      </c>
      <c r="C6" s="133"/>
    </row>
    <row r="7" spans="1:3" x14ac:dyDescent="0.3">
      <c r="A7" s="136" t="s">
        <v>319</v>
      </c>
      <c r="B7" s="137">
        <v>5.59</v>
      </c>
      <c r="C7" s="133"/>
    </row>
    <row r="8" spans="1:3" x14ac:dyDescent="0.3">
      <c r="A8" s="136" t="s">
        <v>320</v>
      </c>
      <c r="B8" s="137">
        <v>1</v>
      </c>
      <c r="C8" s="133"/>
    </row>
    <row r="9" spans="1:3" x14ac:dyDescent="0.3">
      <c r="A9" s="136" t="s">
        <v>321</v>
      </c>
      <c r="B9" s="137">
        <v>5.59</v>
      </c>
      <c r="C9" s="133"/>
    </row>
    <row r="10" spans="1:3" x14ac:dyDescent="0.3">
      <c r="A10" s="136" t="s">
        <v>322</v>
      </c>
      <c r="B10" s="137">
        <v>1</v>
      </c>
      <c r="C10" s="133"/>
    </row>
    <row r="11" spans="1:3" x14ac:dyDescent="0.3">
      <c r="A11" s="136" t="s">
        <v>323</v>
      </c>
      <c r="B11" s="137">
        <v>1.86</v>
      </c>
      <c r="C11" s="133"/>
    </row>
    <row r="12" spans="1:3" x14ac:dyDescent="0.3">
      <c r="A12" s="136" t="s">
        <v>324</v>
      </c>
      <c r="B12" s="137">
        <v>2</v>
      </c>
      <c r="C12" s="133"/>
    </row>
    <row r="13" spans="1:3" x14ac:dyDescent="0.3">
      <c r="A13" s="136" t="s">
        <v>325</v>
      </c>
      <c r="B13" s="137">
        <v>0.7</v>
      </c>
      <c r="C13" s="133" t="s">
        <v>326</v>
      </c>
    </row>
    <row r="14" spans="1:3" ht="16.2" thickBot="1" x14ac:dyDescent="0.35">
      <c r="A14" s="138" t="s">
        <v>327</v>
      </c>
      <c r="B14" s="139">
        <v>0.5</v>
      </c>
      <c r="C14" s="13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</vt:i4>
      </vt:variant>
    </vt:vector>
  </HeadingPairs>
  <TitlesOfParts>
    <vt:vector size="111" baseType="lpstr">
      <vt:lpstr>Overview</vt:lpstr>
      <vt:lpstr>Schematic</vt:lpstr>
      <vt:lpstr>Units</vt:lpstr>
      <vt:lpstr>ProductionPads</vt:lpstr>
      <vt:lpstr>ProductionTanks</vt:lpstr>
      <vt:lpstr>CompletionsPads</vt:lpstr>
      <vt:lpstr>SWDSites</vt:lpstr>
      <vt:lpstr>ExternalWaterSources</vt:lpstr>
      <vt:lpstr>WaterQualityComponents</vt:lpstr>
      <vt:lpstr>AirEmissionsComponents</vt:lpstr>
      <vt:lpstr>StorageSites</vt:lpstr>
      <vt:lpstr>TreatmentSites</vt:lpstr>
      <vt:lpstr>TreatmentTechnologies</vt:lpstr>
      <vt:lpstr>ReuseOptions</vt:lpstr>
      <vt:lpstr>NetworkNodes</vt:lpstr>
      <vt:lpstr>PipelineDiameters</vt:lpstr>
      <vt:lpstr>StorageCapacities</vt:lpstr>
      <vt:lpstr>TreatmentCapacities</vt:lpstr>
      <vt:lpstr>InjectionCapacities</vt:lpstr>
      <vt:lpstr>PNA</vt:lpstr>
      <vt:lpstr>CNA</vt:lpstr>
      <vt:lpstr>CCA</vt:lpstr>
      <vt:lpstr>NNA</vt:lpstr>
      <vt:lpstr>NCA</vt:lpstr>
      <vt:lpstr>NKA</vt:lpstr>
      <vt:lpstr>NRA</vt:lpstr>
      <vt:lpstr>NSA</vt:lpstr>
      <vt:lpstr>NOA</vt:lpstr>
      <vt:lpstr>SNA</vt:lpstr>
      <vt:lpstr>SOA</vt:lpstr>
      <vt:lpstr>FCA</vt:lpstr>
      <vt:lpstr>RCA</vt:lpstr>
      <vt:lpstr>RSA</vt:lpstr>
      <vt:lpstr>SCA</vt:lpstr>
      <vt:lpstr>RNA</vt:lpstr>
      <vt:lpstr>ROA</vt:lpstr>
      <vt:lpstr>RKA</vt:lpstr>
      <vt:lpstr>PCT</vt:lpstr>
      <vt:lpstr>FCT</vt:lpstr>
      <vt:lpstr>PKT</vt:lpstr>
      <vt:lpstr>CKT</vt:lpstr>
      <vt:lpstr>CCT</vt:lpstr>
      <vt:lpstr>CST</vt:lpstr>
      <vt:lpstr>RST</vt:lpstr>
      <vt:lpstr>ROT</vt:lpstr>
      <vt:lpstr>SOT</vt:lpstr>
      <vt:lpstr>RKT</vt:lpstr>
      <vt:lpstr>Elevation</vt:lpstr>
      <vt:lpstr>CompletionsDemand</vt:lpstr>
      <vt:lpstr>PadRates</vt:lpstr>
      <vt:lpstr>FlowbackRates</vt:lpstr>
      <vt:lpstr>WellPressure</vt:lpstr>
      <vt:lpstr>InitialPipelineCapacity</vt:lpstr>
      <vt:lpstr>InitialPipelineDiameters</vt:lpstr>
      <vt:lpstr>InitialDisposalCapacity</vt:lpstr>
      <vt:lpstr>InitialStorageCapacity</vt:lpstr>
      <vt:lpstr>InitialTreatmentCapacity</vt:lpstr>
      <vt:lpstr>ReuseMinimum</vt:lpstr>
      <vt:lpstr>ReuseCapacity</vt:lpstr>
      <vt:lpstr>ExtWaterSourcingAvailability</vt:lpstr>
      <vt:lpstr>CompletionsPadStorage</vt:lpstr>
      <vt:lpstr>PadOffloadingCapacity</vt:lpstr>
      <vt:lpstr>NodeCapacities</vt:lpstr>
      <vt:lpstr>DisposalOperatingCapacity</vt:lpstr>
      <vt:lpstr>DisposalOperationalCost</vt:lpstr>
      <vt:lpstr>TreatmentOperationalCost</vt:lpstr>
      <vt:lpstr>ReuseOperationalCost</vt:lpstr>
      <vt:lpstr>PipelineOperationalCost</vt:lpstr>
      <vt:lpstr>ExternalSourcingCost</vt:lpstr>
      <vt:lpstr>TruckingHourlyCost</vt:lpstr>
      <vt:lpstr>TruckingTime</vt:lpstr>
      <vt:lpstr>DisposalExpansionCost</vt:lpstr>
      <vt:lpstr>DisposalCapacityIncrements</vt:lpstr>
      <vt:lpstr>StorageExpansionCost</vt:lpstr>
      <vt:lpstr>StorageCapacityIncrements</vt:lpstr>
      <vt:lpstr>TreatmentExpansionCost</vt:lpstr>
      <vt:lpstr>TreatmentCapacityIncrements</vt:lpstr>
      <vt:lpstr>PipelineCapexDistanceBased</vt:lpstr>
      <vt:lpstr>PipelineExpansionDistance</vt:lpstr>
      <vt:lpstr>PipelineCapexCapacityBased</vt:lpstr>
      <vt:lpstr>PipelineCapacityIncrements</vt:lpstr>
      <vt:lpstr>PipelineDiameterValues</vt:lpstr>
      <vt:lpstr>TreatmentEfficiency</vt:lpstr>
      <vt:lpstr>RemovalEfficiency</vt:lpstr>
      <vt:lpstr>DesalinationTechnologies</vt:lpstr>
      <vt:lpstr>DesalinationSites</vt:lpstr>
      <vt:lpstr>BeneficialReuseCost</vt:lpstr>
      <vt:lpstr>BeneficialReuseCredit</vt:lpstr>
      <vt:lpstr>CompletionsPadOutsideSystem</vt:lpstr>
      <vt:lpstr>Hydraulics</vt:lpstr>
      <vt:lpstr>Economics</vt:lpstr>
      <vt:lpstr>ExternalWaterQuality</vt:lpstr>
      <vt:lpstr>PadWaterQuality</vt:lpstr>
      <vt:lpstr>StorageInitialWaterQuality</vt:lpstr>
      <vt:lpstr>PadStorageInitialWaterQuality</vt:lpstr>
      <vt:lpstr>AirEmissionCoefficients</vt:lpstr>
      <vt:lpstr>TreatmentEmissionCoefficients</vt:lpstr>
      <vt:lpstr>TreatmentExpansionLeadTime</vt:lpstr>
      <vt:lpstr>DisposalExpansionLeadTime</vt:lpstr>
      <vt:lpstr>StorageExpansionLeadTime</vt:lpstr>
      <vt:lpstr>PipelineExpansionLeadTime_Dist</vt:lpstr>
      <vt:lpstr>PipelineExpansionLeadTime_Capac</vt:lpstr>
      <vt:lpstr>SWDDeep</vt:lpstr>
      <vt:lpstr>SWDAveragePressure</vt:lpstr>
      <vt:lpstr>SWDProxPAWell</vt:lpstr>
      <vt:lpstr>SWDProxInactiveWell</vt:lpstr>
      <vt:lpstr>SWDProxEQ</vt:lpstr>
      <vt:lpstr>SWDProxFault</vt:lpstr>
      <vt:lpstr>SWDProxHpOrLpWell</vt:lpstr>
      <vt:lpstr>SWDRiskFactors</vt:lpstr>
      <vt:lpstr>PipelineExpansionDistance!Extract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Drouven, Markus G.</dc:creator>
  <cp:keywords/>
  <dc:description/>
  <cp:lastModifiedBy>Soumya Shikha</cp:lastModifiedBy>
  <cp:revision/>
  <dcterms:created xsi:type="dcterms:W3CDTF">2021-03-26T14:51:49Z</dcterms:created>
  <dcterms:modified xsi:type="dcterms:W3CDTF">2025-10-31T18:58:34Z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47341-4757-443f-8545-88b6b969d13e_Enabled">
    <vt:lpwstr>True</vt:lpwstr>
  </property>
  <property fmtid="{D5CDD505-2E9C-101B-9397-08002B2CF9AE}" pid="3" name="MSIP_Label_6a247341-4757-443f-8545-88b6b969d13e_SiteId">
    <vt:lpwstr>94e92035-30e4-4e5d-ba5b-df8b041a8555</vt:lpwstr>
  </property>
  <property fmtid="{D5CDD505-2E9C-101B-9397-08002B2CF9AE}" pid="4" name="MSIP_Label_6a247341-4757-443f-8545-88b6b969d13e_SetDate">
    <vt:lpwstr>2025-10-29T17:53:31Z</vt:lpwstr>
  </property>
  <property fmtid="{D5CDD505-2E9C-101B-9397-08002B2CF9AE}" pid="5" name="MSIP_Label_6a247341-4757-443f-8545-88b6b969d13e_Name">
    <vt:lpwstr>Restricted</vt:lpwstr>
  </property>
  <property fmtid="{D5CDD505-2E9C-101B-9397-08002B2CF9AE}" pid="6" name="MSIP_Label_6a247341-4757-443f-8545-88b6b969d13e_ActionId">
    <vt:lpwstr>2e0f685f-9747-45b0-83ca-eb9089066ab7</vt:lpwstr>
  </property>
  <property fmtid="{D5CDD505-2E9C-101B-9397-08002B2CF9AE}" pid="7" name="MSIP_Label_6a247341-4757-443f-8545-88b6b969d13e_Removed">
    <vt:lpwstr>False</vt:lpwstr>
  </property>
  <property fmtid="{D5CDD505-2E9C-101B-9397-08002B2CF9AE}" pid="8" name="MSIP_Label_6a247341-4757-443f-8545-88b6b969d13e_Extended_MSFT_Method">
    <vt:lpwstr>Standard</vt:lpwstr>
  </property>
  <property fmtid="{D5CDD505-2E9C-101B-9397-08002B2CF9AE}" pid="9" name="Sensitivity">
    <vt:lpwstr>Restricted</vt:lpwstr>
  </property>
</Properties>
</file>