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a\OneDrive - KeyLogic\Documents\project-pareto\pareto\case_studies\"/>
    </mc:Choice>
  </mc:AlternateContent>
  <bookViews>
    <workbookView xWindow="-108" yWindow="-108" windowWidth="23256" windowHeight="13896" tabRatio="878" firstSheet="48" activeTab="48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<sst xmlns="http://schemas.openxmlformats.org/spreadsheetml/2006/main" count="3633" uniqueCount="349">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</sst>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166" fontId="1" fillId="0" borderId="0" xfId="2" applyNumberFormat="1" applyFont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3" t="s">
        <v>256</v>
      </c>
      <c r="B2" s="120" t="s">
        <v>44</v>
      </c>
    </row>
    <row r="3" spans="1:4" x14ac:dyDescent="0.3">
      <c r="A3" s="121" t="s">
        <v>87</v>
      </c>
      <c r="B3" s="122">
        <v>650</v>
      </c>
    </row>
    <row r="4" spans="1:4" x14ac:dyDescent="0.3">
      <c r="A4" s="121" t="s">
        <v>88</v>
      </c>
      <c r="B4" s="122">
        <v>550</v>
      </c>
      <c r="D4" s="12"/>
    </row>
    <row r="5" spans="1:4" x14ac:dyDescent="0.3">
      <c r="A5" s="121" t="s">
        <v>89</v>
      </c>
      <c r="B5" s="122">
        <v>550</v>
      </c>
    </row>
    <row r="6" spans="1:4" x14ac:dyDescent="0.3">
      <c r="A6" s="121" t="s">
        <v>90</v>
      </c>
      <c r="B6" s="122">
        <v>450</v>
      </c>
    </row>
    <row r="7" spans="1:4" x14ac:dyDescent="0.3">
      <c r="A7" s="121" t="s">
        <v>91</v>
      </c>
      <c r="B7" s="122">
        <v>450</v>
      </c>
    </row>
    <row r="8" spans="1:4" x14ac:dyDescent="0.3">
      <c r="A8" s="121" t="s">
        <v>92</v>
      </c>
      <c r="B8" s="122">
        <v>300</v>
      </c>
    </row>
    <row r="9" spans="1:4" x14ac:dyDescent="0.3">
      <c r="A9" s="121" t="s">
        <v>93</v>
      </c>
      <c r="B9" s="122">
        <v>250</v>
      </c>
    </row>
    <row r="10" spans="1:4" x14ac:dyDescent="0.3">
      <c r="A10" s="121" t="s">
        <v>94</v>
      </c>
      <c r="B10" s="122">
        <v>250</v>
      </c>
    </row>
    <row r="11" spans="1:4" x14ac:dyDescent="0.3">
      <c r="A11" s="121" t="s">
        <v>95</v>
      </c>
      <c r="B11" s="122">
        <v>250</v>
      </c>
    </row>
    <row r="12" spans="1:4" x14ac:dyDescent="0.3">
      <c r="A12" s="121" t="s">
        <v>96</v>
      </c>
      <c r="B12" s="122">
        <v>200</v>
      </c>
    </row>
    <row r="13" spans="1:4" x14ac:dyDescent="0.3">
      <c r="A13" s="121" t="s">
        <v>97</v>
      </c>
      <c r="B13" s="122">
        <v>250</v>
      </c>
    </row>
    <row r="14" spans="1:4" x14ac:dyDescent="0.3">
      <c r="A14" s="121" t="s">
        <v>98</v>
      </c>
      <c r="B14" s="122">
        <v>200</v>
      </c>
    </row>
    <row r="15" spans="1:4" x14ac:dyDescent="0.3">
      <c r="A15" s="121" t="s">
        <v>99</v>
      </c>
      <c r="B15" s="122">
        <v>200</v>
      </c>
    </row>
    <row r="16" spans="1:4" x14ac:dyDescent="0.3">
      <c r="A16" s="126" t="s">
        <v>100</v>
      </c>
      <c r="B16" s="127">
        <v>150</v>
      </c>
    </row>
    <row r="17" spans="1:2" x14ac:dyDescent="0.3">
      <c r="A17" s="121" t="s">
        <v>117</v>
      </c>
      <c r="B17" s="122">
        <v>650</v>
      </c>
    </row>
    <row r="18" spans="1:2" x14ac:dyDescent="0.3">
      <c r="A18" s="121" t="s">
        <v>118</v>
      </c>
      <c r="B18" s="122">
        <v>350</v>
      </c>
    </row>
    <row r="19" spans="1:2" x14ac:dyDescent="0.3">
      <c r="A19" s="126" t="s">
        <v>119</v>
      </c>
      <c r="B19" s="127">
        <v>500</v>
      </c>
    </row>
    <row r="20" spans="1:2" x14ac:dyDescent="0.3">
      <c r="A20" s="121" t="s">
        <v>121</v>
      </c>
      <c r="B20" s="122">
        <v>550</v>
      </c>
    </row>
    <row r="21" spans="1:2" x14ac:dyDescent="0.3">
      <c r="A21" s="121" t="s">
        <v>122</v>
      </c>
      <c r="B21" s="122">
        <v>600</v>
      </c>
    </row>
    <row r="22" spans="1:2" x14ac:dyDescent="0.3">
      <c r="A22" s="121" t="s">
        <v>123</v>
      </c>
      <c r="B22" s="122">
        <v>400</v>
      </c>
    </row>
    <row r="23" spans="1:2" x14ac:dyDescent="0.3">
      <c r="A23" s="121" t="s">
        <v>124</v>
      </c>
      <c r="B23" s="122">
        <v>250</v>
      </c>
    </row>
    <row r="24" spans="1:2" x14ac:dyDescent="0.3">
      <c r="A24" s="126" t="s">
        <v>125</v>
      </c>
      <c r="B24" s="127">
        <v>100</v>
      </c>
    </row>
    <row r="25" spans="1:2" x14ac:dyDescent="0.3">
      <c r="A25" s="121" t="s">
        <v>126</v>
      </c>
      <c r="B25" s="122">
        <v>650</v>
      </c>
    </row>
    <row r="26" spans="1:2" x14ac:dyDescent="0.3">
      <c r="A26" s="126" t="s">
        <v>127</v>
      </c>
      <c r="B26" s="127">
        <v>650</v>
      </c>
    </row>
    <row r="27" spans="1:2" x14ac:dyDescent="0.3">
      <c r="A27" s="121" t="s">
        <v>129</v>
      </c>
      <c r="B27" s="122">
        <v>350</v>
      </c>
    </row>
    <row r="28" spans="1:2" x14ac:dyDescent="0.3">
      <c r="A28" s="121" t="s">
        <v>130</v>
      </c>
      <c r="B28" s="122">
        <v>350</v>
      </c>
    </row>
    <row r="29" spans="1:2" x14ac:dyDescent="0.3">
      <c r="A29" s="126" t="s">
        <v>131</v>
      </c>
      <c r="B29" s="127">
        <v>500</v>
      </c>
    </row>
    <row r="30" spans="1:2" x14ac:dyDescent="0.3">
      <c r="A30" s="121" t="s">
        <v>133</v>
      </c>
      <c r="B30" s="122">
        <v>250</v>
      </c>
    </row>
    <row r="31" spans="1:2" x14ac:dyDescent="0.3">
      <c r="A31" s="121" t="s">
        <v>134</v>
      </c>
      <c r="B31" s="122">
        <v>250</v>
      </c>
    </row>
    <row r="32" spans="1:2" x14ac:dyDescent="0.3">
      <c r="A32" s="121" t="s">
        <v>135</v>
      </c>
      <c r="B32" s="122">
        <v>400</v>
      </c>
    </row>
    <row r="33" spans="1:2" x14ac:dyDescent="0.3">
      <c r="A33" s="126" t="s">
        <v>136</v>
      </c>
      <c r="B33" s="127">
        <v>500</v>
      </c>
    </row>
    <row r="34" spans="1:2" x14ac:dyDescent="0.3">
      <c r="A34" s="121" t="s">
        <v>141</v>
      </c>
      <c r="B34" s="122">
        <v>600</v>
      </c>
    </row>
    <row r="35" spans="1:2" x14ac:dyDescent="0.3">
      <c r="A35" s="121" t="s">
        <v>142</v>
      </c>
      <c r="B35" s="122">
        <v>600</v>
      </c>
    </row>
    <row r="36" spans="1:2" x14ac:dyDescent="0.3">
      <c r="A36" s="121" t="s">
        <v>143</v>
      </c>
      <c r="B36" s="122">
        <v>600</v>
      </c>
    </row>
    <row r="37" spans="1:2" x14ac:dyDescent="0.3">
      <c r="A37" s="121" t="s">
        <v>144</v>
      </c>
      <c r="B37" s="122">
        <v>600</v>
      </c>
    </row>
    <row r="38" spans="1:2" x14ac:dyDescent="0.3">
      <c r="A38" s="121" t="s">
        <v>145</v>
      </c>
      <c r="B38" s="122">
        <v>550</v>
      </c>
    </row>
    <row r="39" spans="1:2" x14ac:dyDescent="0.3">
      <c r="A39" s="121" t="s">
        <v>146</v>
      </c>
      <c r="B39" s="122">
        <v>550</v>
      </c>
    </row>
    <row r="40" spans="1:2" x14ac:dyDescent="0.3">
      <c r="A40" s="121" t="s">
        <v>147</v>
      </c>
      <c r="B40" s="122">
        <v>550</v>
      </c>
    </row>
    <row r="41" spans="1:2" x14ac:dyDescent="0.3">
      <c r="A41" s="121" t="s">
        <v>148</v>
      </c>
      <c r="B41" s="122">
        <v>550</v>
      </c>
    </row>
    <row r="42" spans="1:2" x14ac:dyDescent="0.3">
      <c r="A42" s="121" t="s">
        <v>149</v>
      </c>
      <c r="B42" s="122">
        <v>500</v>
      </c>
    </row>
    <row r="43" spans="1:2" x14ac:dyDescent="0.3">
      <c r="A43" s="121" t="s">
        <v>150</v>
      </c>
      <c r="B43" s="122">
        <v>500</v>
      </c>
    </row>
    <row r="44" spans="1:2" x14ac:dyDescent="0.3">
      <c r="A44" s="121" t="s">
        <v>151</v>
      </c>
      <c r="B44" s="122">
        <v>450</v>
      </c>
    </row>
    <row r="45" spans="1:2" x14ac:dyDescent="0.3">
      <c r="A45" s="121" t="s">
        <v>152</v>
      </c>
      <c r="B45" s="122">
        <v>400</v>
      </c>
    </row>
    <row r="46" spans="1:2" x14ac:dyDescent="0.3">
      <c r="A46" s="121" t="s">
        <v>153</v>
      </c>
      <c r="B46" s="122">
        <v>400</v>
      </c>
    </row>
    <row r="47" spans="1:2" x14ac:dyDescent="0.3">
      <c r="A47" s="121" t="s">
        <v>154</v>
      </c>
      <c r="B47" s="122">
        <v>350</v>
      </c>
    </row>
    <row r="48" spans="1:2" x14ac:dyDescent="0.3">
      <c r="A48" s="121" t="s">
        <v>155</v>
      </c>
      <c r="B48" s="122">
        <v>350</v>
      </c>
    </row>
    <row r="49" spans="1:2" x14ac:dyDescent="0.3">
      <c r="A49" s="121" t="s">
        <v>156</v>
      </c>
      <c r="B49" s="122">
        <v>350</v>
      </c>
    </row>
    <row r="50" spans="1:2" x14ac:dyDescent="0.3">
      <c r="A50" s="121" t="s">
        <v>157</v>
      </c>
      <c r="B50" s="122">
        <v>350</v>
      </c>
    </row>
    <row r="51" spans="1:2" x14ac:dyDescent="0.3">
      <c r="A51" s="121" t="s">
        <v>158</v>
      </c>
      <c r="B51" s="122">
        <v>250</v>
      </c>
    </row>
    <row r="52" spans="1:2" x14ac:dyDescent="0.3">
      <c r="A52" s="121" t="s">
        <v>159</v>
      </c>
      <c r="B52" s="122">
        <v>250</v>
      </c>
    </row>
    <row r="53" spans="1:2" x14ac:dyDescent="0.3">
      <c r="A53" s="121" t="s">
        <v>160</v>
      </c>
      <c r="B53" s="122">
        <v>300</v>
      </c>
    </row>
    <row r="54" spans="1:2" x14ac:dyDescent="0.3">
      <c r="A54" s="121" t="s">
        <v>161</v>
      </c>
      <c r="B54" s="122">
        <v>300</v>
      </c>
    </row>
    <row r="55" spans="1:2" x14ac:dyDescent="0.3">
      <c r="A55" s="121" t="s">
        <v>162</v>
      </c>
      <c r="B55" s="122">
        <v>300</v>
      </c>
    </row>
    <row r="56" spans="1:2" x14ac:dyDescent="0.3">
      <c r="A56" s="121" t="s">
        <v>163</v>
      </c>
      <c r="B56" s="122">
        <v>250</v>
      </c>
    </row>
    <row r="57" spans="1:2" x14ac:dyDescent="0.3">
      <c r="A57" s="121" t="s">
        <v>164</v>
      </c>
      <c r="B57" s="122">
        <v>250</v>
      </c>
    </row>
    <row r="58" spans="1:2" x14ac:dyDescent="0.3">
      <c r="A58" s="121" t="s">
        <v>165</v>
      </c>
      <c r="B58" s="122">
        <v>200</v>
      </c>
    </row>
    <row r="59" spans="1:2" x14ac:dyDescent="0.3">
      <c r="A59" s="121" t="s">
        <v>166</v>
      </c>
      <c r="B59" s="122">
        <v>150</v>
      </c>
    </row>
    <row r="60" spans="1:2" x14ac:dyDescent="0.3">
      <c r="A60" s="121" t="s">
        <v>167</v>
      </c>
      <c r="B60" s="122">
        <v>200</v>
      </c>
    </row>
    <row r="61" spans="1:2" ht="16.2" thickBot="1" x14ac:dyDescent="0.35">
      <c r="A61" s="124" t="s">
        <v>168</v>
      </c>
      <c r="B61" s="125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C10"/>
  <sheetViews>
    <sheetView showZeros="0" tabSelected="1" workbookViewId="0">
      <selection activeCell="G21" sqref="G21"/>
    </sheetView>
  </sheetViews>
  <sheetFormatPr defaultColWidth="9.33203125" defaultRowHeight="15.6" x14ac:dyDescent="0.3"/>
  <cols>
    <col min="1" max="1" width="18" style="1" customWidth="1"/>
    <col min="2" max="2" width="15.44140625" style="1" bestFit="1" customWidth="1"/>
    <col min="3" max="3" width="9.88671875" style="1" bestFit="1" customWidth="1"/>
    <col min="4" max="11" width="9.33203125" style="1"/>
    <col min="12" max="12" width="10.6640625" style="1" customWidth="1"/>
    <col min="13" max="53" width="9.33203125" style="1"/>
    <col min="54" max="54" width="13.33203125" style="1" bestFit="1" customWidth="1"/>
    <col min="55" max="16384" width="9.33203125" style="1"/>
  </cols>
  <sheetData>
    <row r="1" spans="1:55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5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5" s="8" customFormat="1" x14ac:dyDescent="0.3">
      <c r="A3" s="28" t="s">
        <v>117</v>
      </c>
      <c r="B3" s="9">
        <v>0</v>
      </c>
      <c r="C3" s="9">
        <v>45000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9">
        <v>50000</v>
      </c>
      <c r="J3" s="9">
        <v>50000</v>
      </c>
      <c r="K3" s="9">
        <v>50000</v>
      </c>
      <c r="L3" s="9">
        <v>37142.857142857145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10714.285714285714</v>
      </c>
      <c r="AU3" s="9">
        <v>45714.285714285717</v>
      </c>
      <c r="AV3" s="9">
        <v>45714.285714285717</v>
      </c>
      <c r="AW3" s="9">
        <v>45714.285714285717</v>
      </c>
      <c r="AX3" s="9">
        <v>45714.285714285717</v>
      </c>
      <c r="AY3" s="9">
        <v>45714.285714285717</v>
      </c>
      <c r="AZ3" s="9">
        <v>22857.142857142859</v>
      </c>
      <c r="BA3" s="31">
        <v>11428.571428571429</v>
      </c>
      <c r="BB3" s="88"/>
    </row>
    <row r="4" spans="1:55" s="8" customFormat="1" x14ac:dyDescent="0.3">
      <c r="A4" s="28" t="s">
        <v>118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40000</v>
      </c>
      <c r="X4" s="9">
        <v>42857.142857142855</v>
      </c>
      <c r="Y4" s="9">
        <v>42857.142857142855</v>
      </c>
      <c r="Z4" s="9">
        <v>42857.142857142855</v>
      </c>
      <c r="AA4" s="9">
        <v>42857.142857142855</v>
      </c>
      <c r="AB4" s="9">
        <v>42857.142857142855</v>
      </c>
      <c r="AC4" s="9">
        <v>42857.142857142855</v>
      </c>
      <c r="AD4" s="9">
        <v>42857.142857142855</v>
      </c>
      <c r="AE4" s="9">
        <v>42857.142857142855</v>
      </c>
      <c r="AF4" s="9">
        <v>42857.142857142855</v>
      </c>
      <c r="AG4" s="9">
        <v>42857.142857142855</v>
      </c>
      <c r="AH4" s="9">
        <v>42857.142857142855</v>
      </c>
      <c r="AI4" s="9">
        <v>42857.142857142855</v>
      </c>
      <c r="AJ4" s="9">
        <v>21428.571428571428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31">
        <v>0</v>
      </c>
      <c r="BB4" s="88"/>
      <c r="BC4" s="82"/>
    </row>
    <row r="5" spans="1:55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20000</v>
      </c>
      <c r="AS5" s="10">
        <v>20000</v>
      </c>
      <c r="AT5" s="10">
        <v>20000</v>
      </c>
      <c r="AU5" s="10">
        <v>20000</v>
      </c>
      <c r="AV5" s="10">
        <v>20000</v>
      </c>
      <c r="AW5" s="10">
        <v>20000</v>
      </c>
      <c r="AX5" s="10">
        <v>20000</v>
      </c>
      <c r="AY5" s="10">
        <v>10000</v>
      </c>
      <c r="AZ5" s="10">
        <v>0</v>
      </c>
      <c r="BA5" s="11">
        <v>0</v>
      </c>
      <c r="BB5" s="87"/>
      <c r="BC5" s="81"/>
    </row>
    <row r="9" spans="1:55" x14ac:dyDescent="0.3">
      <c r="B9" s="50"/>
    </row>
    <row r="10" spans="1:55" x14ac:dyDescent="0.3">
      <c r="F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3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3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3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3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3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3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3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3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3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3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3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3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3"/>
    </row>
    <row r="16" spans="1:55" x14ac:dyDescent="0.3">
      <c r="A16" s="83" t="s">
        <v>100</v>
      </c>
      <c r="B16" s="116">
        <v>32</v>
      </c>
      <c r="C16" s="116">
        <f>$B16*(VALUE(RIGHT(C$2,2)))^(-0.13)</f>
        <v>29.242606407340819</v>
      </c>
      <c r="D16" s="116">
        <f t="shared" ref="D16:BA16" si="13">$B16*(VALUE(RIGHT(D$2,2)))^(-0.13)</f>
        <v>27.741134322504106</v>
      </c>
      <c r="E16" s="116">
        <f t="shared" si="13"/>
        <v>26.722813421707823</v>
      </c>
      <c r="F16" s="116">
        <f t="shared" si="13"/>
        <v>25.958756087541534</v>
      </c>
      <c r="G16" s="116">
        <f t="shared" si="13"/>
        <v>25.350721008942525</v>
      </c>
      <c r="H16" s="116">
        <f t="shared" si="13"/>
        <v>24.847759398383523</v>
      </c>
      <c r="I16" s="116">
        <f t="shared" si="13"/>
        <v>24.420147343368946</v>
      </c>
      <c r="J16" s="116">
        <f t="shared" si="13"/>
        <v>24.049079171850479</v>
      </c>
      <c r="K16" s="116">
        <f t="shared" si="13"/>
        <v>23.721927721629356</v>
      </c>
      <c r="L16" s="116">
        <f t="shared" si="13"/>
        <v>23.429818765345306</v>
      </c>
      <c r="M16" s="116">
        <f t="shared" si="13"/>
        <v>23.166286143962878</v>
      </c>
      <c r="N16" s="116">
        <f t="shared" si="13"/>
        <v>22.926477980832381</v>
      </c>
      <c r="O16" s="116">
        <f t="shared" si="13"/>
        <v>22.706664005976034</v>
      </c>
      <c r="P16" s="116">
        <f t="shared" si="13"/>
        <v>22.503916858425342</v>
      </c>
      <c r="Q16" s="116">
        <f t="shared" si="13"/>
        <v>22.315898661606486</v>
      </c>
      <c r="R16" s="116">
        <f t="shared" si="13"/>
        <v>22.140713822640322</v>
      </c>
      <c r="S16" s="116">
        <f t="shared" si="13"/>
        <v>21.976804896293796</v>
      </c>
      <c r="T16" s="116">
        <f t="shared" si="13"/>
        <v>21.822877268038116</v>
      </c>
      <c r="U16" s="116">
        <f t="shared" si="13"/>
        <v>21.677843612093579</v>
      </c>
      <c r="V16" s="116">
        <f t="shared" si="13"/>
        <v>21.540782221369408</v>
      </c>
      <c r="W16" s="116">
        <f t="shared" si="13"/>
        <v>21.410905260947526</v>
      </c>
      <c r="X16" s="116">
        <f t="shared" si="13"/>
        <v>21.287534246083073</v>
      </c>
      <c r="Y16" s="116">
        <f t="shared" si="13"/>
        <v>21.170080863366866</v>
      </c>
      <c r="Z16" s="116">
        <f t="shared" si="13"/>
        <v>21.058031800389834</v>
      </c>
      <c r="AA16" s="116">
        <f t="shared" si="13"/>
        <v>20.950936621876473</v>
      </c>
      <c r="AB16" s="116">
        <f t="shared" si="13"/>
        <v>20.848397988713746</v>
      </c>
      <c r="AC16" s="116">
        <f t="shared" si="13"/>
        <v>20.750063698452806</v>
      </c>
      <c r="AD16" s="116">
        <f t="shared" si="13"/>
        <v>20.655620156119451</v>
      </c>
      <c r="AE16" s="116">
        <f t="shared" si="13"/>
        <v>20.564786978576684</v>
      </c>
      <c r="AF16" s="116">
        <f t="shared" si="13"/>
        <v>20.477312504957936</v>
      </c>
      <c r="AG16" s="116">
        <f t="shared" si="13"/>
        <v>20.392970037108192</v>
      </c>
      <c r="AH16" s="116">
        <f t="shared" si="13"/>
        <v>20.311554672542858</v>
      </c>
      <c r="AI16" s="116">
        <f t="shared" si="13"/>
        <v>20.232880621657536</v>
      </c>
      <c r="AJ16" s="116">
        <f t="shared" si="13"/>
        <v>20.156778923267364</v>
      </c>
      <c r="AK16" s="116">
        <f t="shared" si="13"/>
        <v>20.08309548978875</v>
      </c>
      <c r="AL16" s="116">
        <f t="shared" si="13"/>
        <v>20.011689426776709</v>
      </c>
      <c r="AM16" s="116">
        <f t="shared" si="13"/>
        <v>19.942431582029492</v>
      </c>
      <c r="AN16" s="116">
        <f t="shared" si="13"/>
        <v>19.875203287756367</v>
      </c>
      <c r="AO16" s="116">
        <f t="shared" si="13"/>
        <v>19.809895265885622</v>
      </c>
      <c r="AP16" s="116">
        <f t="shared" si="13"/>
        <v>19.746406671851364</v>
      </c>
      <c r="AQ16" s="116">
        <f t="shared" si="13"/>
        <v>19.684644256429696</v>
      </c>
      <c r="AR16" s="116">
        <f t="shared" si="13"/>
        <v>19.624521628618059</v>
      </c>
      <c r="AS16" s="116">
        <f t="shared" si="13"/>
        <v>19.565958605335979</v>
      </c>
      <c r="AT16" s="116">
        <f t="shared" si="13"/>
        <v>19.508880636001312</v>
      </c>
      <c r="AU16" s="116">
        <f t="shared" si="13"/>
        <v>19.453218291906122</v>
      </c>
      <c r="AV16" s="116">
        <f t="shared" si="13"/>
        <v>19.398906811859529</v>
      </c>
      <c r="AW16" s="116">
        <f t="shared" si="13"/>
        <v>19.345885696844221</v>
      </c>
      <c r="AX16" s="116">
        <f t="shared" si="13"/>
        <v>19.294098347498647</v>
      </c>
      <c r="AY16" s="116">
        <f t="shared" si="13"/>
        <v>19.243491739127077</v>
      </c>
      <c r="AZ16" s="116">
        <f t="shared" si="13"/>
        <v>19.194016129687139</v>
      </c>
      <c r="BA16" s="84">
        <f t="shared" si="13"/>
        <v>19.145624796833633</v>
      </c>
      <c r="BB16" s="103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3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3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3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14206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14206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42857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42857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42857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42857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>
        <v>42857</v>
      </c>
      <c r="AQ51" s="93">
        <v>42857</v>
      </c>
      <c r="AR51" s="101">
        <v>42857</v>
      </c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>
        <v>42857</v>
      </c>
      <c r="AQ52" s="98">
        <v>42857</v>
      </c>
      <c r="AR52" s="102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71429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71429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8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8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8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8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/>
      <c r="AQ51" s="93"/>
      <c r="AR51" s="101"/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/>
      <c r="AQ52" s="98"/>
      <c r="AR52" s="102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6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6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6">
        <v>0</v>
      </c>
      <c r="E3" s="166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3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opLeftCell="AG1" workbookViewId="0">
      <selection activeCell="AP11" sqref="AP11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1</v>
      </c>
      <c r="AS3" s="9">
        <v>1</v>
      </c>
      <c r="AT3" s="9">
        <v>1</v>
      </c>
      <c r="AU3" s="9">
        <v>1</v>
      </c>
      <c r="AV3" s="9">
        <v>1</v>
      </c>
      <c r="AW3" s="9">
        <v>1</v>
      </c>
      <c r="AX3" s="9">
        <v>1</v>
      </c>
      <c r="AY3" s="9">
        <v>1</v>
      </c>
      <c r="AZ3" s="9">
        <v>1</v>
      </c>
      <c r="BA3" s="9">
        <v>1</v>
      </c>
    </row>
    <row r="4" spans="1:56" s="8" customFormat="1" x14ac:dyDescent="0.3">
      <c r="A4" s="28" t="s">
        <v>122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</row>
    <row r="5" spans="1:56" s="8" customFormat="1" x14ac:dyDescent="0.3">
      <c r="A5" s="28" t="s">
        <v>123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9">
        <v>1</v>
      </c>
      <c r="AJ5" s="9">
        <v>1</v>
      </c>
      <c r="AK5" s="9">
        <v>1</v>
      </c>
      <c r="AL5" s="9">
        <v>1</v>
      </c>
      <c r="AM5" s="9">
        <v>1</v>
      </c>
      <c r="AN5" s="9">
        <v>1</v>
      </c>
      <c r="AO5" s="9">
        <v>1</v>
      </c>
      <c r="AP5" s="9">
        <v>1</v>
      </c>
      <c r="AQ5" s="9">
        <v>1</v>
      </c>
      <c r="AR5" s="9">
        <v>1</v>
      </c>
      <c r="AS5" s="9">
        <v>1</v>
      </c>
      <c r="AT5" s="9">
        <v>1</v>
      </c>
      <c r="AU5" s="9">
        <v>1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1</v>
      </c>
    </row>
    <row r="6" spans="1:56" s="8" customFormat="1" x14ac:dyDescent="0.3">
      <c r="A6" s="28" t="s">
        <v>124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D6" s="82"/>
    </row>
    <row r="7" spans="1:56" ht="16.2" thickBot="1" x14ac:dyDescent="0.35">
      <c r="A7" s="29" t="s">
        <v>125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0.35</v>
      </c>
    </row>
    <row r="4" spans="1:2" s="8" customFormat="1" x14ac:dyDescent="0.3">
      <c r="A4" s="28" t="s">
        <v>122</v>
      </c>
      <c r="B4" s="31">
        <v>0.35</v>
      </c>
    </row>
    <row r="5" spans="1:2" s="8" customFormat="1" x14ac:dyDescent="0.3">
      <c r="A5" s="28" t="s">
        <v>123</v>
      </c>
      <c r="B5" s="31">
        <v>0.35</v>
      </c>
    </row>
    <row r="6" spans="1:2" s="8" customFormat="1" x14ac:dyDescent="0.3">
      <c r="A6" s="28" t="s">
        <v>124</v>
      </c>
      <c r="B6" s="31">
        <v>0.35</v>
      </c>
    </row>
    <row r="7" spans="1:2" ht="16.2" thickBot="1" x14ac:dyDescent="0.35">
      <c r="A7" s="29" t="s">
        <v>125</v>
      </c>
      <c r="B7" s="31">
        <v>0.35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0.1</v>
      </c>
    </row>
    <row r="4" spans="1:3" x14ac:dyDescent="0.3">
      <c r="A4" s="28" t="s">
        <v>134</v>
      </c>
      <c r="B4" s="104" t="s">
        <v>137</v>
      </c>
      <c r="C4" s="31">
        <v>0.1</v>
      </c>
    </row>
    <row r="5" spans="1:3" x14ac:dyDescent="0.3">
      <c r="A5" s="28" t="s">
        <v>135</v>
      </c>
      <c r="B5" s="104" t="s">
        <v>137</v>
      </c>
      <c r="C5" s="31">
        <v>0.1</v>
      </c>
    </row>
    <row r="6" spans="1:3" x14ac:dyDescent="0.3">
      <c r="A6" s="28" t="s">
        <v>136</v>
      </c>
      <c r="B6" s="104" t="s">
        <v>137</v>
      </c>
      <c r="C6" s="31">
        <v>0.1</v>
      </c>
    </row>
    <row r="7" spans="1:3" x14ac:dyDescent="0.3">
      <c r="A7" s="28" t="s">
        <v>133</v>
      </c>
      <c r="B7" s="104" t="s">
        <v>138</v>
      </c>
      <c r="C7" s="31">
        <v>0.2</v>
      </c>
    </row>
    <row r="8" spans="1:3" x14ac:dyDescent="0.3">
      <c r="A8" s="28" t="s">
        <v>134</v>
      </c>
      <c r="B8" s="104" t="s">
        <v>138</v>
      </c>
      <c r="C8" s="31">
        <v>0.2</v>
      </c>
    </row>
    <row r="9" spans="1:3" x14ac:dyDescent="0.3">
      <c r="A9" s="28" t="s">
        <v>135</v>
      </c>
      <c r="B9" s="104" t="s">
        <v>138</v>
      </c>
      <c r="C9" s="31">
        <v>0.2</v>
      </c>
    </row>
    <row r="10" spans="1:3" x14ac:dyDescent="0.3">
      <c r="A10" s="28" t="s">
        <v>136</v>
      </c>
      <c r="B10" s="104" t="s">
        <v>138</v>
      </c>
      <c r="C10" s="31">
        <v>0.2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89" t="s">
        <v>136</v>
      </c>
      <c r="B14" s="89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1</v>
      </c>
    </row>
    <row r="16" spans="1:3" x14ac:dyDescent="0.3">
      <c r="A16" s="28" t="s">
        <v>134</v>
      </c>
      <c r="B16" s="104" t="s">
        <v>347</v>
      </c>
      <c r="C16" s="31">
        <v>1</v>
      </c>
    </row>
    <row r="17" spans="1:3" x14ac:dyDescent="0.3">
      <c r="A17" s="28" t="s">
        <v>135</v>
      </c>
      <c r="B17" s="104" t="s">
        <v>347</v>
      </c>
      <c r="C17" s="31">
        <v>1</v>
      </c>
    </row>
    <row r="18" spans="1:3" x14ac:dyDescent="0.3">
      <c r="A18" s="28" t="s">
        <v>136</v>
      </c>
      <c r="B18" s="104" t="s">
        <v>347</v>
      </c>
      <c r="C18" s="31">
        <v>1</v>
      </c>
    </row>
    <row r="19" spans="1:3" x14ac:dyDescent="0.3">
      <c r="A19" s="28" t="s">
        <v>133</v>
      </c>
      <c r="B19" s="104" t="s">
        <v>348</v>
      </c>
      <c r="C19" s="31">
        <v>0.7</v>
      </c>
    </row>
    <row r="20" spans="1:3" x14ac:dyDescent="0.3">
      <c r="A20" s="145" t="s">
        <v>134</v>
      </c>
      <c r="B20" s="104" t="s">
        <v>348</v>
      </c>
      <c r="C20" s="31">
        <v>0.7</v>
      </c>
    </row>
    <row r="21" spans="1:3" x14ac:dyDescent="0.3">
      <c r="A21" s="28" t="s">
        <v>135</v>
      </c>
      <c r="B21" s="104" t="s">
        <v>348</v>
      </c>
      <c r="C21" s="31">
        <v>0.7</v>
      </c>
    </row>
    <row r="22" spans="1:3" ht="16.2" thickBot="1" x14ac:dyDescent="0.35">
      <c r="A22" s="29" t="s">
        <v>136</v>
      </c>
      <c r="B22" s="113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3">
        <v>1E-4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2"/>
      <c r="AE3" s="93"/>
      <c r="AF3" s="93"/>
      <c r="AG3" s="93"/>
      <c r="AH3" s="94"/>
      <c r="AI3" s="93"/>
      <c r="AJ3" s="93"/>
      <c r="AK3" s="93"/>
      <c r="AL3" s="93"/>
      <c r="AM3" s="92"/>
      <c r="AN3" s="93"/>
      <c r="AO3" s="94"/>
      <c r="AP3" s="93"/>
      <c r="AQ3" s="93"/>
      <c r="AR3" s="101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5"/>
      <c r="AE4" s="9"/>
      <c r="AF4" s="9"/>
      <c r="AG4" s="9"/>
      <c r="AH4" s="96"/>
      <c r="AI4" s="9"/>
      <c r="AJ4" s="9"/>
      <c r="AK4" s="9"/>
      <c r="AL4" s="9"/>
      <c r="AM4" s="95"/>
      <c r="AN4" s="9"/>
      <c r="AO4" s="96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5"/>
      <c r="AE5" s="9"/>
      <c r="AF5" s="9"/>
      <c r="AG5" s="9"/>
      <c r="AH5" s="96"/>
      <c r="AI5" s="9"/>
      <c r="AJ5" s="9"/>
      <c r="AK5" s="9"/>
      <c r="AL5" s="9"/>
      <c r="AM5" s="95"/>
      <c r="AN5" s="9"/>
      <c r="AO5" s="96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5"/>
      <c r="AE6" s="9"/>
      <c r="AF6" s="9"/>
      <c r="AG6" s="9"/>
      <c r="AH6" s="96"/>
      <c r="AI6" s="9"/>
      <c r="AJ6" s="9"/>
      <c r="AK6" s="9"/>
      <c r="AL6" s="9"/>
      <c r="AM6" s="95"/>
      <c r="AN6" s="9"/>
      <c r="AO6" s="96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5"/>
      <c r="AE7" s="9"/>
      <c r="AF7" s="9"/>
      <c r="AG7" s="9"/>
      <c r="AH7" s="96"/>
      <c r="AI7" s="9"/>
      <c r="AJ7" s="9"/>
      <c r="AK7" s="9"/>
      <c r="AL7" s="9"/>
      <c r="AM7" s="95"/>
      <c r="AN7" s="9"/>
      <c r="AO7" s="96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5"/>
      <c r="AE8" s="9"/>
      <c r="AF8" s="9"/>
      <c r="AG8" s="9"/>
      <c r="AH8" s="96"/>
      <c r="AI8" s="9"/>
      <c r="AJ8" s="9"/>
      <c r="AK8" s="9"/>
      <c r="AL8" s="9"/>
      <c r="AM8" s="95"/>
      <c r="AN8" s="9"/>
      <c r="AO8" s="96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5"/>
      <c r="AE9" s="9"/>
      <c r="AF9" s="9"/>
      <c r="AG9" s="9"/>
      <c r="AH9" s="96"/>
      <c r="AI9" s="9"/>
      <c r="AJ9" s="9"/>
      <c r="AK9" s="9"/>
      <c r="AL9" s="9"/>
      <c r="AM9" s="95"/>
      <c r="AN9" s="9"/>
      <c r="AO9" s="96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5"/>
      <c r="AE10" s="9"/>
      <c r="AF10" s="9"/>
      <c r="AG10" s="9"/>
      <c r="AH10" s="96"/>
      <c r="AI10" s="9"/>
      <c r="AJ10" s="9"/>
      <c r="AK10" s="9"/>
      <c r="AL10" s="9"/>
      <c r="AM10" s="95"/>
      <c r="AN10" s="9"/>
      <c r="AO10" s="96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5"/>
      <c r="AE11" s="9"/>
      <c r="AF11" s="9"/>
      <c r="AG11" s="9"/>
      <c r="AH11" s="96"/>
      <c r="AI11" s="9"/>
      <c r="AJ11" s="9"/>
      <c r="AK11" s="9"/>
      <c r="AL11" s="9"/>
      <c r="AM11" s="95"/>
      <c r="AN11" s="9"/>
      <c r="AO11" s="96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5"/>
      <c r="AE12" s="9"/>
      <c r="AF12" s="9"/>
      <c r="AG12" s="9"/>
      <c r="AH12" s="96"/>
      <c r="AI12" s="9"/>
      <c r="AJ12" s="9"/>
      <c r="AK12" s="9"/>
      <c r="AL12" s="9"/>
      <c r="AM12" s="95"/>
      <c r="AN12" s="9"/>
      <c r="AO12" s="96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5"/>
      <c r="AE13" s="9"/>
      <c r="AF13" s="9"/>
      <c r="AG13" s="9"/>
      <c r="AH13" s="96"/>
      <c r="AI13" s="9"/>
      <c r="AJ13" s="9"/>
      <c r="AK13" s="9"/>
      <c r="AL13" s="9"/>
      <c r="AM13" s="95"/>
      <c r="AN13" s="9"/>
      <c r="AO13" s="96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5"/>
      <c r="AE14" s="9"/>
      <c r="AF14" s="9"/>
      <c r="AG14" s="9"/>
      <c r="AH14" s="96"/>
      <c r="AI14" s="9"/>
      <c r="AJ14" s="9"/>
      <c r="AK14" s="9"/>
      <c r="AL14" s="9"/>
      <c r="AM14" s="95"/>
      <c r="AN14" s="9"/>
      <c r="AO14" s="96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5"/>
      <c r="AE15" s="9"/>
      <c r="AF15" s="9"/>
      <c r="AG15" s="9"/>
      <c r="AH15" s="96"/>
      <c r="AI15" s="9"/>
      <c r="AJ15" s="9"/>
      <c r="AK15" s="9"/>
      <c r="AL15" s="9"/>
      <c r="AM15" s="95"/>
      <c r="AN15" s="9"/>
      <c r="AO15" s="96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5"/>
      <c r="AE16" s="9"/>
      <c r="AF16" s="9"/>
      <c r="AG16" s="9"/>
      <c r="AH16" s="96"/>
      <c r="AI16" s="9"/>
      <c r="AJ16" s="9"/>
      <c r="AK16" s="9"/>
      <c r="AL16" s="9"/>
      <c r="AM16" s="95"/>
      <c r="AN16" s="9"/>
      <c r="AO16" s="96"/>
      <c r="AP16" s="9"/>
      <c r="AQ16" s="9"/>
      <c r="AR16" s="31"/>
    </row>
    <row r="17" spans="1:44" x14ac:dyDescent="0.3">
      <c r="A17" s="58" t="s">
        <v>117</v>
      </c>
      <c r="B17" s="93"/>
      <c r="C17" s="93"/>
      <c r="D17" s="93"/>
      <c r="E17" s="93"/>
      <c r="F17" s="93"/>
      <c r="G17" s="93"/>
      <c r="H17" s="93"/>
      <c r="I17" s="93">
        <v>1E-4</v>
      </c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2"/>
      <c r="AE17" s="93"/>
      <c r="AF17" s="93"/>
      <c r="AG17" s="93"/>
      <c r="AH17" s="94"/>
      <c r="AI17" s="93"/>
      <c r="AJ17" s="93"/>
      <c r="AK17" s="93"/>
      <c r="AL17" s="93"/>
      <c r="AM17" s="92"/>
      <c r="AN17" s="93"/>
      <c r="AO17" s="94"/>
      <c r="AP17" s="93"/>
      <c r="AQ17" s="93"/>
      <c r="AR17" s="101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5"/>
      <c r="AE18" s="9"/>
      <c r="AF18" s="9"/>
      <c r="AG18" s="9"/>
      <c r="AH18" s="96"/>
      <c r="AI18" s="9"/>
      <c r="AJ18" s="9"/>
      <c r="AK18" s="9"/>
      <c r="AL18" s="9"/>
      <c r="AM18" s="95"/>
      <c r="AN18" s="9"/>
      <c r="AO18" s="96"/>
      <c r="AP18" s="9"/>
      <c r="AQ18" s="9"/>
      <c r="AR18" s="31"/>
    </row>
    <row r="19" spans="1:44" x14ac:dyDescent="0.3">
      <c r="A19" s="83" t="s">
        <v>119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7"/>
      <c r="AE19" s="98"/>
      <c r="AF19" s="98"/>
      <c r="AG19" s="98"/>
      <c r="AH19" s="99"/>
      <c r="AI19" s="98"/>
      <c r="AJ19" s="98"/>
      <c r="AK19" s="98"/>
      <c r="AL19" s="98"/>
      <c r="AM19" s="97"/>
      <c r="AN19" s="98"/>
      <c r="AO19" s="99"/>
      <c r="AP19" s="98"/>
      <c r="AQ19" s="98"/>
      <c r="AR19" s="102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5">
        <v>1E-4</v>
      </c>
      <c r="AE20" s="9"/>
      <c r="AF20" s="9"/>
      <c r="AG20" s="9"/>
      <c r="AH20" s="96"/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5"/>
      <c r="AE21" s="9"/>
      <c r="AF21" s="9"/>
      <c r="AG21" s="9"/>
      <c r="AH21" s="96"/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5"/>
      <c r="AE22" s="9"/>
      <c r="AF22" s="9"/>
      <c r="AG22" s="9"/>
      <c r="AH22" s="96"/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5"/>
      <c r="AE23" s="9">
        <v>1E-4</v>
      </c>
      <c r="AF23" s="9"/>
      <c r="AG23" s="9"/>
      <c r="AH23" s="96"/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5"/>
      <c r="AE24" s="9"/>
      <c r="AF24" s="9"/>
      <c r="AG24" s="9"/>
      <c r="AH24" s="96"/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5"/>
      <c r="AE25" s="9"/>
      <c r="AF25" s="9"/>
      <c r="AG25" s="9"/>
      <c r="AH25" s="96"/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5"/>
      <c r="AE26" s="9"/>
      <c r="AF26" s="9"/>
      <c r="AG26" s="9"/>
      <c r="AH26" s="96"/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5"/>
      <c r="AE27" s="9"/>
      <c r="AF27" s="9"/>
      <c r="AG27" s="9"/>
      <c r="AH27" s="96"/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5"/>
      <c r="AE28" s="9"/>
      <c r="AF28" s="9"/>
      <c r="AG28" s="9"/>
      <c r="AH28" s="96"/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5"/>
      <c r="AE29" s="9"/>
      <c r="AF29" s="9"/>
      <c r="AG29" s="9"/>
      <c r="AH29" s="96"/>
      <c r="AI29" s="9">
        <v>1E-4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5"/>
      <c r="AE30" s="9"/>
      <c r="AF30" s="9"/>
      <c r="AG30" s="9"/>
      <c r="AH30" s="96"/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5"/>
      <c r="AE31" s="9"/>
      <c r="AF31" s="9"/>
      <c r="AG31" s="9"/>
      <c r="AH31" s="96"/>
      <c r="AI31" s="9"/>
      <c r="AJ31" s="9">
        <v>1E-4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5"/>
      <c r="AE32" s="9"/>
      <c r="AF32" s="9">
        <v>1E-4</v>
      </c>
      <c r="AG32" s="9"/>
      <c r="AH32" s="96"/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5"/>
      <c r="AE33" s="9"/>
      <c r="AF33" s="9"/>
      <c r="AG33" s="9"/>
      <c r="AH33" s="96"/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5"/>
      <c r="AE34" s="9"/>
      <c r="AF34" s="9"/>
      <c r="AG34" s="9"/>
      <c r="AH34" s="96"/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5"/>
      <c r="AE35" s="9"/>
      <c r="AF35" s="9"/>
      <c r="AG35" s="9"/>
      <c r="AH35" s="96"/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5"/>
      <c r="AE36" s="9"/>
      <c r="AF36" s="9"/>
      <c r="AG36" s="9">
        <v>1E-4</v>
      </c>
      <c r="AH36" s="96"/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5"/>
      <c r="AE37" s="9"/>
      <c r="AF37" s="9"/>
      <c r="AG37" s="9">
        <v>1E-4</v>
      </c>
      <c r="AH37" s="96"/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5"/>
      <c r="AE38" s="9"/>
      <c r="AF38" s="9"/>
      <c r="AG38" s="9"/>
      <c r="AH38" s="96"/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5"/>
      <c r="AE39" s="9"/>
      <c r="AF39" s="9"/>
      <c r="AG39" s="9"/>
      <c r="AH39" s="96"/>
      <c r="AI39" s="9"/>
      <c r="AJ39" s="9"/>
      <c r="AK39" s="9">
        <v>1E-4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5"/>
      <c r="AE40" s="9"/>
      <c r="AF40" s="9"/>
      <c r="AG40" s="9"/>
      <c r="AH40" s="96"/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5"/>
      <c r="AE41" s="9"/>
      <c r="AF41" s="9">
        <v>1E-4</v>
      </c>
      <c r="AG41" s="9"/>
      <c r="AH41" s="96"/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5"/>
      <c r="AE42" s="9"/>
      <c r="AF42" s="9"/>
      <c r="AG42" s="9"/>
      <c r="AH42" s="96"/>
      <c r="AI42" s="9"/>
      <c r="AJ42" s="9"/>
      <c r="AK42" s="9"/>
      <c r="AL42" s="9">
        <v>1E-4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5"/>
      <c r="AE43" s="9"/>
      <c r="AF43" s="9"/>
      <c r="AG43" s="9"/>
      <c r="AH43" s="96"/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5"/>
      <c r="AE44" s="9"/>
      <c r="AF44" s="9"/>
      <c r="AG44" s="9"/>
      <c r="AH44" s="96"/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5"/>
      <c r="AE45" s="9"/>
      <c r="AF45" s="9"/>
      <c r="AG45" s="9"/>
      <c r="AH45" s="96">
        <v>1E-4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5"/>
      <c r="AE46" s="9"/>
      <c r="AF46" s="9"/>
      <c r="AG46" s="9"/>
      <c r="AH46" s="96"/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5"/>
      <c r="AE47" s="9"/>
      <c r="AF47" s="9"/>
      <c r="AG47" s="9"/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1E-4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1E-4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7"/>
      <c r="AE50" s="98"/>
      <c r="AF50" s="98"/>
      <c r="AG50" s="98"/>
      <c r="AH50" s="99"/>
      <c r="AI50" s="98"/>
      <c r="AJ50" s="98"/>
      <c r="AK50" s="98"/>
      <c r="AL50" s="98"/>
      <c r="AM50" s="97"/>
      <c r="AN50" s="98"/>
      <c r="AO50" s="99"/>
      <c r="AP50" s="98"/>
      <c r="AQ50" s="98"/>
      <c r="AR50" s="102">
        <v>1E-4</v>
      </c>
    </row>
    <row r="51" spans="1:44" x14ac:dyDescent="0.3">
      <c r="A51" s="58" t="s">
        <v>126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2"/>
      <c r="AE51" s="93"/>
      <c r="AF51" s="93"/>
      <c r="AG51" s="93"/>
      <c r="AH51" s="94"/>
      <c r="AI51" s="93"/>
      <c r="AJ51" s="93"/>
      <c r="AK51" s="93"/>
      <c r="AL51" s="93"/>
      <c r="AM51" s="92"/>
      <c r="AN51" s="93"/>
      <c r="AO51" s="94"/>
      <c r="AP51" s="93">
        <v>1E-4</v>
      </c>
      <c r="AQ51" s="93">
        <v>1E-4</v>
      </c>
      <c r="AR51" s="101">
        <v>1E-4</v>
      </c>
    </row>
    <row r="52" spans="1:44" x14ac:dyDescent="0.3">
      <c r="A52" s="83" t="s">
        <v>127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7"/>
      <c r="AE52" s="98"/>
      <c r="AF52" s="98"/>
      <c r="AG52" s="98"/>
      <c r="AH52" s="99"/>
      <c r="AI52" s="98"/>
      <c r="AJ52" s="98"/>
      <c r="AK52" s="98"/>
      <c r="AL52" s="98"/>
      <c r="AM52" s="97"/>
      <c r="AN52" s="98"/>
      <c r="AO52" s="99"/>
      <c r="AP52" s="98">
        <v>1E-4</v>
      </c>
      <c r="AQ52" s="98">
        <v>1E-4</v>
      </c>
      <c r="AR52" s="102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5"/>
      <c r="AE53" s="9"/>
      <c r="AF53" s="9"/>
      <c r="AG53" s="9"/>
      <c r="AH53" s="96"/>
      <c r="AI53" s="9"/>
      <c r="AJ53" s="9"/>
      <c r="AK53" s="9"/>
      <c r="AL53" s="9"/>
      <c r="AM53" s="95">
        <v>1E-4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1E-4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2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2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4" t="s">
        <v>100</v>
      </c>
      <c r="B16" s="98">
        <v>2.5</v>
      </c>
      <c r="C16" s="98">
        <v>2</v>
      </c>
      <c r="D16" s="98">
        <v>5</v>
      </c>
      <c r="E16" s="98">
        <v>11</v>
      </c>
      <c r="F16" s="102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9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9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9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5" t="s">
        <v>137</v>
      </c>
      <c r="C6" s="116">
        <v>10</v>
      </c>
      <c r="D6" s="116">
        <v>10</v>
      </c>
      <c r="E6" s="116">
        <v>10</v>
      </c>
      <c r="F6" s="84">
        <v>10</v>
      </c>
    </row>
    <row r="7" spans="1:6" x14ac:dyDescent="0.3">
      <c r="A7" s="28" t="s">
        <v>133</v>
      </c>
      <c r="B7" s="89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9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9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5" t="s">
        <v>138</v>
      </c>
      <c r="C10" s="116">
        <v>12</v>
      </c>
      <c r="D10" s="116">
        <v>12</v>
      </c>
      <c r="E10" s="116">
        <v>12</v>
      </c>
      <c r="F10" s="84">
        <v>12</v>
      </c>
    </row>
    <row r="11" spans="1:6" x14ac:dyDescent="0.3">
      <c r="A11" s="28" t="s">
        <v>133</v>
      </c>
      <c r="B11" s="89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9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9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5" t="s">
        <v>346</v>
      </c>
      <c r="C14" s="116">
        <v>1000</v>
      </c>
      <c r="D14" s="116">
        <v>1000</v>
      </c>
      <c r="E14" s="116">
        <v>1000</v>
      </c>
      <c r="F14" s="84">
        <v>1000</v>
      </c>
    </row>
    <row r="15" spans="1:6" x14ac:dyDescent="0.3">
      <c r="A15" s="28" t="s">
        <v>133</v>
      </c>
      <c r="B15" s="89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9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9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5" t="s">
        <v>347</v>
      </c>
      <c r="C18" s="116">
        <v>500</v>
      </c>
      <c r="D18" s="116">
        <v>500</v>
      </c>
      <c r="E18" s="116">
        <v>500</v>
      </c>
      <c r="F18" s="84">
        <v>500</v>
      </c>
    </row>
    <row r="19" spans="1:6" x14ac:dyDescent="0.3">
      <c r="A19" s="28" t="s">
        <v>133</v>
      </c>
      <c r="B19" s="89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9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9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1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5" t="s">
        <v>267</v>
      </c>
      <c r="AE3" s="9" t="s">
        <v>267</v>
      </c>
      <c r="AF3" s="9" t="s">
        <v>267</v>
      </c>
      <c r="AG3" s="9" t="s">
        <v>267</v>
      </c>
      <c r="AH3" s="96" t="s">
        <v>267</v>
      </c>
      <c r="AI3" s="9"/>
      <c r="AJ3" s="9"/>
      <c r="AK3" s="9"/>
      <c r="AL3" s="9"/>
      <c r="AM3" s="95" t="s">
        <v>267</v>
      </c>
      <c r="AN3" s="9"/>
      <c r="AO3" s="96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5" t="s">
        <v>267</v>
      </c>
      <c r="AE4" s="9" t="s">
        <v>267</v>
      </c>
      <c r="AF4" s="9" t="s">
        <v>267</v>
      </c>
      <c r="AG4" s="9" t="s">
        <v>267</v>
      </c>
      <c r="AH4" s="96" t="s">
        <v>267</v>
      </c>
      <c r="AI4" s="9"/>
      <c r="AJ4" s="9"/>
      <c r="AK4" s="9"/>
      <c r="AL4" s="9"/>
      <c r="AM4" s="95" t="s">
        <v>267</v>
      </c>
      <c r="AN4" s="9"/>
      <c r="AO4" s="96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5" t="s">
        <v>267</v>
      </c>
      <c r="AE5" s="9" t="s">
        <v>267</v>
      </c>
      <c r="AF5" s="9" t="s">
        <v>267</v>
      </c>
      <c r="AG5" s="9" t="s">
        <v>267</v>
      </c>
      <c r="AH5" s="96" t="s">
        <v>267</v>
      </c>
      <c r="AI5" s="9"/>
      <c r="AJ5" s="9"/>
      <c r="AK5" s="9"/>
      <c r="AL5" s="9"/>
      <c r="AM5" s="95" t="s">
        <v>267</v>
      </c>
      <c r="AN5" s="9"/>
      <c r="AO5" s="96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5" t="s">
        <v>267</v>
      </c>
      <c r="AE6" s="9" t="s">
        <v>267</v>
      </c>
      <c r="AF6" s="9" t="s">
        <v>267</v>
      </c>
      <c r="AG6" s="9" t="s">
        <v>267</v>
      </c>
      <c r="AH6" s="96" t="s">
        <v>267</v>
      </c>
      <c r="AI6" s="9"/>
      <c r="AJ6" s="9"/>
      <c r="AK6" s="9"/>
      <c r="AL6" s="9"/>
      <c r="AM6" s="95" t="s">
        <v>267</v>
      </c>
      <c r="AN6" s="9"/>
      <c r="AO6" s="96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5" t="s">
        <v>267</v>
      </c>
      <c r="AE7" s="9" t="s">
        <v>267</v>
      </c>
      <c r="AF7" s="9" t="s">
        <v>267</v>
      </c>
      <c r="AG7" s="9" t="s">
        <v>267</v>
      </c>
      <c r="AH7" s="96" t="s">
        <v>267</v>
      </c>
      <c r="AI7" s="9"/>
      <c r="AJ7" s="9"/>
      <c r="AK7" s="9"/>
      <c r="AL7" s="9"/>
      <c r="AM7" s="95" t="s">
        <v>267</v>
      </c>
      <c r="AN7" s="9"/>
      <c r="AO7" s="96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5" t="s">
        <v>267</v>
      </c>
      <c r="AE8" s="9" t="s">
        <v>267</v>
      </c>
      <c r="AF8" s="9" t="s">
        <v>267</v>
      </c>
      <c r="AG8" s="9" t="s">
        <v>267</v>
      </c>
      <c r="AH8" s="96" t="s">
        <v>267</v>
      </c>
      <c r="AI8" s="9"/>
      <c r="AJ8" s="9"/>
      <c r="AK8" s="9"/>
      <c r="AL8" s="9"/>
      <c r="AM8" s="95" t="s">
        <v>267</v>
      </c>
      <c r="AN8" s="9"/>
      <c r="AO8" s="96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5" t="s">
        <v>267</v>
      </c>
      <c r="AE9" s="9" t="s">
        <v>267</v>
      </c>
      <c r="AF9" s="9" t="s">
        <v>267</v>
      </c>
      <c r="AG9" s="9" t="s">
        <v>267</v>
      </c>
      <c r="AH9" s="96" t="s">
        <v>267</v>
      </c>
      <c r="AI9" s="9"/>
      <c r="AJ9" s="9"/>
      <c r="AK9" s="9"/>
      <c r="AL9" s="9"/>
      <c r="AM9" s="95" t="s">
        <v>267</v>
      </c>
      <c r="AN9" s="9"/>
      <c r="AO9" s="96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5" t="s">
        <v>267</v>
      </c>
      <c r="AE10" s="9" t="s">
        <v>267</v>
      </c>
      <c r="AF10" s="9" t="s">
        <v>267</v>
      </c>
      <c r="AG10" s="9" t="s">
        <v>267</v>
      </c>
      <c r="AH10" s="96" t="s">
        <v>267</v>
      </c>
      <c r="AI10" s="9"/>
      <c r="AJ10" s="9"/>
      <c r="AK10" s="9"/>
      <c r="AL10" s="9"/>
      <c r="AM10" s="95" t="s">
        <v>267</v>
      </c>
      <c r="AN10" s="9"/>
      <c r="AO10" s="96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5" t="s">
        <v>267</v>
      </c>
      <c r="AE11" s="9" t="s">
        <v>267</v>
      </c>
      <c r="AF11" s="9" t="s">
        <v>267</v>
      </c>
      <c r="AG11" s="9" t="s">
        <v>267</v>
      </c>
      <c r="AH11" s="96" t="s">
        <v>267</v>
      </c>
      <c r="AI11" s="9"/>
      <c r="AJ11" s="9"/>
      <c r="AK11" s="9"/>
      <c r="AL11" s="9"/>
      <c r="AM11" s="95" t="s">
        <v>267</v>
      </c>
      <c r="AN11" s="9"/>
      <c r="AO11" s="96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5" t="s">
        <v>267</v>
      </c>
      <c r="AE12" s="9" t="s">
        <v>267</v>
      </c>
      <c r="AF12" s="9" t="s">
        <v>267</v>
      </c>
      <c r="AG12" s="9" t="s">
        <v>267</v>
      </c>
      <c r="AH12" s="96" t="s">
        <v>267</v>
      </c>
      <c r="AI12" s="9"/>
      <c r="AJ12" s="9"/>
      <c r="AK12" s="9"/>
      <c r="AL12" s="9"/>
      <c r="AM12" s="95" t="s">
        <v>267</v>
      </c>
      <c r="AN12" s="9"/>
      <c r="AO12" s="96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5" t="s">
        <v>267</v>
      </c>
      <c r="AE13" s="9" t="s">
        <v>267</v>
      </c>
      <c r="AF13" s="9" t="s">
        <v>267</v>
      </c>
      <c r="AG13" s="9" t="s">
        <v>267</v>
      </c>
      <c r="AH13" s="96" t="s">
        <v>267</v>
      </c>
      <c r="AI13" s="9"/>
      <c r="AJ13" s="9"/>
      <c r="AK13" s="9"/>
      <c r="AL13" s="9"/>
      <c r="AM13" s="95" t="s">
        <v>267</v>
      </c>
      <c r="AN13" s="9"/>
      <c r="AO13" s="96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5" t="s">
        <v>267</v>
      </c>
      <c r="AE14" s="9" t="s">
        <v>267</v>
      </c>
      <c r="AF14" s="9" t="s">
        <v>267</v>
      </c>
      <c r="AG14" s="9" t="s">
        <v>267</v>
      </c>
      <c r="AH14" s="96" t="s">
        <v>267</v>
      </c>
      <c r="AI14" s="9"/>
      <c r="AJ14" s="9"/>
      <c r="AK14" s="9"/>
      <c r="AL14" s="9"/>
      <c r="AM14" s="95" t="s">
        <v>267</v>
      </c>
      <c r="AN14" s="9"/>
      <c r="AO14" s="96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5" t="s">
        <v>267</v>
      </c>
      <c r="AE15" s="9" t="s">
        <v>267</v>
      </c>
      <c r="AF15" s="9" t="s">
        <v>267</v>
      </c>
      <c r="AG15" s="9" t="s">
        <v>267</v>
      </c>
      <c r="AH15" s="96" t="s">
        <v>267</v>
      </c>
      <c r="AI15" s="9"/>
      <c r="AJ15" s="9"/>
      <c r="AK15" s="9"/>
      <c r="AL15" s="9"/>
      <c r="AM15" s="95" t="s">
        <v>267</v>
      </c>
      <c r="AN15" s="9"/>
      <c r="AO15" s="96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5" t="s">
        <v>267</v>
      </c>
      <c r="AE16" s="9" t="s">
        <v>267</v>
      </c>
      <c r="AF16" s="9" t="s">
        <v>267</v>
      </c>
      <c r="AG16" s="9" t="s">
        <v>267</v>
      </c>
      <c r="AH16" s="96" t="s">
        <v>267</v>
      </c>
      <c r="AI16" s="9"/>
      <c r="AJ16" s="9"/>
      <c r="AK16" s="9"/>
      <c r="AL16" s="9"/>
      <c r="AM16" s="95" t="s">
        <v>267</v>
      </c>
      <c r="AN16" s="9"/>
      <c r="AO16" s="96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3" t="s">
        <v>267</v>
      </c>
      <c r="C17" s="93" t="s">
        <v>267</v>
      </c>
      <c r="D17" s="93"/>
      <c r="E17" s="93" t="s">
        <v>267</v>
      </c>
      <c r="F17" s="93" t="s">
        <v>267</v>
      </c>
      <c r="G17" s="93" t="s">
        <v>267</v>
      </c>
      <c r="H17" s="93" t="s">
        <v>267</v>
      </c>
      <c r="I17" s="93">
        <f>2*F4</f>
        <v>3.3694000000000002</v>
      </c>
      <c r="J17" s="93" t="s">
        <v>267</v>
      </c>
      <c r="K17" s="93" t="s">
        <v>267</v>
      </c>
      <c r="L17" s="93" t="s">
        <v>267</v>
      </c>
      <c r="M17" s="93" t="s">
        <v>267</v>
      </c>
      <c r="N17" s="93" t="s">
        <v>267</v>
      </c>
      <c r="O17" s="93" t="s">
        <v>267</v>
      </c>
      <c r="P17" s="93" t="s">
        <v>267</v>
      </c>
      <c r="Q17" s="93" t="s">
        <v>267</v>
      </c>
      <c r="R17" s="93" t="s">
        <v>267</v>
      </c>
      <c r="S17" s="93" t="s">
        <v>267</v>
      </c>
      <c r="T17" s="93" t="s">
        <v>267</v>
      </c>
      <c r="U17" s="93" t="s">
        <v>267</v>
      </c>
      <c r="V17" s="93" t="s">
        <v>267</v>
      </c>
      <c r="W17" s="93" t="s">
        <v>267</v>
      </c>
      <c r="X17" s="93" t="s">
        <v>267</v>
      </c>
      <c r="Y17" s="93" t="s">
        <v>267</v>
      </c>
      <c r="Z17" s="105" t="s">
        <v>267</v>
      </c>
      <c r="AA17" s="105" t="s">
        <v>267</v>
      </c>
      <c r="AB17" s="105" t="s">
        <v>267</v>
      </c>
      <c r="AC17" s="105" t="s">
        <v>267</v>
      </c>
      <c r="AD17" s="108" t="s">
        <v>267</v>
      </c>
      <c r="AE17" s="105" t="s">
        <v>267</v>
      </c>
      <c r="AF17" s="105" t="s">
        <v>267</v>
      </c>
      <c r="AG17" s="105" t="s">
        <v>267</v>
      </c>
      <c r="AH17" s="107" t="s">
        <v>267</v>
      </c>
      <c r="AI17" s="93"/>
      <c r="AJ17" s="93"/>
      <c r="AK17" s="93"/>
      <c r="AL17" s="93"/>
      <c r="AM17" s="92" t="s">
        <v>267</v>
      </c>
      <c r="AN17" s="105"/>
      <c r="AO17" s="107"/>
      <c r="AP17" s="105" t="s">
        <v>267</v>
      </c>
      <c r="AQ17" s="105" t="s">
        <v>267</v>
      </c>
      <c r="AR17" s="106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9" t="s">
        <v>267</v>
      </c>
      <c r="AE18" s="32" t="s">
        <v>267</v>
      </c>
      <c r="AF18" s="32" t="s">
        <v>267</v>
      </c>
      <c r="AG18" s="32" t="s">
        <v>267</v>
      </c>
      <c r="AH18" s="89" t="s">
        <v>267</v>
      </c>
      <c r="AI18" s="9"/>
      <c r="AJ18" s="9"/>
      <c r="AK18" s="9"/>
      <c r="AL18" s="9"/>
      <c r="AM18" s="95" t="s">
        <v>267</v>
      </c>
      <c r="AN18" s="32"/>
      <c r="AO18" s="89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8" t="s">
        <v>267</v>
      </c>
      <c r="C19" s="98" t="s">
        <v>267</v>
      </c>
      <c r="D19" s="98" t="s">
        <v>267</v>
      </c>
      <c r="E19" s="98" t="s">
        <v>267</v>
      </c>
      <c r="F19" s="98" t="s">
        <v>267</v>
      </c>
      <c r="G19" s="98" t="s">
        <v>267</v>
      </c>
      <c r="H19" s="98" t="s">
        <v>267</v>
      </c>
      <c r="I19" s="98" t="s">
        <v>267</v>
      </c>
      <c r="J19" s="98" t="s">
        <v>267</v>
      </c>
      <c r="K19" s="98" t="s">
        <v>267</v>
      </c>
      <c r="L19" s="98" t="s">
        <v>267</v>
      </c>
      <c r="M19" s="98" t="s">
        <v>267</v>
      </c>
      <c r="N19" s="98" t="s">
        <v>267</v>
      </c>
      <c r="O19" s="98" t="s">
        <v>267</v>
      </c>
      <c r="P19" s="98" t="s">
        <v>267</v>
      </c>
      <c r="Q19" s="98" t="s">
        <v>267</v>
      </c>
      <c r="R19" s="98"/>
      <c r="S19" s="98" t="s">
        <v>267</v>
      </c>
      <c r="T19" s="98" t="s">
        <v>267</v>
      </c>
      <c r="U19" s="98" t="s">
        <v>267</v>
      </c>
      <c r="V19" s="98" t="s">
        <v>267</v>
      </c>
      <c r="W19" s="98" t="s">
        <v>267</v>
      </c>
      <c r="X19" s="98" t="s">
        <v>267</v>
      </c>
      <c r="Y19" s="98" t="s">
        <v>267</v>
      </c>
      <c r="Z19" s="98" t="s">
        <v>267</v>
      </c>
      <c r="AA19" s="98" t="s">
        <v>267</v>
      </c>
      <c r="AB19" s="98" t="s">
        <v>267</v>
      </c>
      <c r="AC19" s="98" t="s">
        <v>267</v>
      </c>
      <c r="AD19" s="97" t="s">
        <v>267</v>
      </c>
      <c r="AE19" s="98" t="s">
        <v>267</v>
      </c>
      <c r="AF19" s="98" t="s">
        <v>267</v>
      </c>
      <c r="AG19" s="98" t="s">
        <v>267</v>
      </c>
      <c r="AH19" s="99" t="s">
        <v>267</v>
      </c>
      <c r="AI19" s="98"/>
      <c r="AJ19" s="98"/>
      <c r="AK19" s="98"/>
      <c r="AL19" s="98"/>
      <c r="AM19" s="97" t="s">
        <v>267</v>
      </c>
      <c r="AN19" s="98"/>
      <c r="AO19" s="99"/>
      <c r="AP19" s="98" t="s">
        <v>267</v>
      </c>
      <c r="AQ19" s="98" t="s">
        <v>267</v>
      </c>
      <c r="AR19" s="102" t="s">
        <v>267</v>
      </c>
    </row>
    <row r="20" spans="1:44" x14ac:dyDescent="0.3">
      <c r="A20" s="28" t="s">
        <v>141</v>
      </c>
      <c r="B20" s="128" t="s">
        <v>267</v>
      </c>
      <c r="C20" s="128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10">
        <v>4.1717000000000004</v>
      </c>
      <c r="AE20" s="9" t="s">
        <v>267</v>
      </c>
      <c r="AF20" s="9" t="s">
        <v>267</v>
      </c>
      <c r="AG20" s="9" t="s">
        <v>267</v>
      </c>
      <c r="AH20" s="96" t="s">
        <v>267</v>
      </c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128">
        <v>4.0752409775985399</v>
      </c>
      <c r="C21" s="128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5" t="s">
        <v>267</v>
      </c>
      <c r="AE21" s="9" t="s">
        <v>267</v>
      </c>
      <c r="AF21" s="9" t="s">
        <v>267</v>
      </c>
      <c r="AG21" s="9" t="s">
        <v>267</v>
      </c>
      <c r="AH21" s="96" t="s">
        <v>267</v>
      </c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5" t="s">
        <v>267</v>
      </c>
      <c r="AE22" s="9" t="s">
        <v>267</v>
      </c>
      <c r="AF22" s="9" t="s">
        <v>267</v>
      </c>
      <c r="AG22" s="9" t="s">
        <v>267</v>
      </c>
      <c r="AH22" s="96" t="s">
        <v>267</v>
      </c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5" t="s">
        <v>267</v>
      </c>
      <c r="AE23" s="9">
        <v>1.3163</v>
      </c>
      <c r="AF23" s="9" t="s">
        <v>267</v>
      </c>
      <c r="AG23" s="9" t="s">
        <v>267</v>
      </c>
      <c r="AH23" s="96" t="s">
        <v>267</v>
      </c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8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5" t="s">
        <v>267</v>
      </c>
      <c r="AE24" s="9" t="s">
        <v>267</v>
      </c>
      <c r="AF24" s="9" t="s">
        <v>267</v>
      </c>
      <c r="AG24" s="9" t="s">
        <v>267</v>
      </c>
      <c r="AH24" s="96" t="s">
        <v>267</v>
      </c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5" t="s">
        <v>267</v>
      </c>
      <c r="AE25" s="9" t="s">
        <v>267</v>
      </c>
      <c r="AF25" s="9" t="s">
        <v>267</v>
      </c>
      <c r="AG25" s="9" t="s">
        <v>267</v>
      </c>
      <c r="AH25" s="96" t="s">
        <v>267</v>
      </c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5" t="s">
        <v>267</v>
      </c>
      <c r="AE26" s="9" t="s">
        <v>267</v>
      </c>
      <c r="AF26" s="9" t="s">
        <v>267</v>
      </c>
      <c r="AG26" s="9" t="s">
        <v>267</v>
      </c>
      <c r="AH26" s="96" t="s">
        <v>267</v>
      </c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5" t="s">
        <v>267</v>
      </c>
      <c r="AE27" s="9" t="s">
        <v>267</v>
      </c>
      <c r="AF27" s="9" t="s">
        <v>267</v>
      </c>
      <c r="AG27" s="9" t="s">
        <v>267</v>
      </c>
      <c r="AH27" s="96" t="s">
        <v>267</v>
      </c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5" t="s">
        <v>267</v>
      </c>
      <c r="AE28" s="9" t="s">
        <v>267</v>
      </c>
      <c r="AF28" s="9" t="s">
        <v>267</v>
      </c>
      <c r="AG28" s="9" t="s">
        <v>267</v>
      </c>
      <c r="AH28" s="96" t="s">
        <v>267</v>
      </c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5" t="s">
        <v>267</v>
      </c>
      <c r="AE29" s="9" t="s">
        <v>267</v>
      </c>
      <c r="AF29" s="9" t="s">
        <v>267</v>
      </c>
      <c r="AG29" s="9" t="s">
        <v>267</v>
      </c>
      <c r="AH29" s="96" t="s">
        <v>267</v>
      </c>
      <c r="AI29" s="9">
        <v>2.5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5" t="s">
        <v>267</v>
      </c>
      <c r="AE30" s="9" t="s">
        <v>267</v>
      </c>
      <c r="AF30" s="9" t="s">
        <v>267</v>
      </c>
      <c r="AG30" s="9" t="s">
        <v>267</v>
      </c>
      <c r="AH30" s="96" t="s">
        <v>267</v>
      </c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5" t="s">
        <v>267</v>
      </c>
      <c r="AE31" s="9" t="s">
        <v>267</v>
      </c>
      <c r="AF31" s="9" t="s">
        <v>267</v>
      </c>
      <c r="AG31" s="9" t="s">
        <v>267</v>
      </c>
      <c r="AH31" s="96" t="s">
        <v>267</v>
      </c>
      <c r="AI31" s="9"/>
      <c r="AJ31" s="9">
        <v>1.5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5" t="s">
        <v>267</v>
      </c>
      <c r="AE32" s="9" t="s">
        <v>267</v>
      </c>
      <c r="AF32" s="9">
        <v>3.0184000000000002</v>
      </c>
      <c r="AG32" s="9" t="s">
        <v>267</v>
      </c>
      <c r="AH32" s="96" t="s">
        <v>267</v>
      </c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5" t="s">
        <v>267</v>
      </c>
      <c r="AE33" s="9" t="s">
        <v>267</v>
      </c>
      <c r="AF33" s="9" t="s">
        <v>267</v>
      </c>
      <c r="AG33" s="9" t="s">
        <v>267</v>
      </c>
      <c r="AH33" s="96" t="s">
        <v>267</v>
      </c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5" t="s">
        <v>267</v>
      </c>
      <c r="AE34" s="9" t="s">
        <v>267</v>
      </c>
      <c r="AF34" s="9" t="s">
        <v>267</v>
      </c>
      <c r="AG34" s="9" t="s">
        <v>267</v>
      </c>
      <c r="AH34" s="96" t="s">
        <v>267</v>
      </c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5" t="s">
        <v>267</v>
      </c>
      <c r="AE35" s="9" t="s">
        <v>267</v>
      </c>
      <c r="AF35" s="9" t="s">
        <v>267</v>
      </c>
      <c r="AG35" s="9" t="s">
        <v>267</v>
      </c>
      <c r="AH35" s="96" t="s">
        <v>267</v>
      </c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5" t="s">
        <v>267</v>
      </c>
      <c r="AE36" s="9" t="s">
        <v>267</v>
      </c>
      <c r="AF36" s="9" t="s">
        <v>267</v>
      </c>
      <c r="AG36" s="9">
        <v>6.4859913942891003</v>
      </c>
      <c r="AH36" s="96" t="s">
        <v>267</v>
      </c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5" t="s">
        <v>267</v>
      </c>
      <c r="AE37" s="9" t="s">
        <v>267</v>
      </c>
      <c r="AF37" s="9" t="s">
        <v>267</v>
      </c>
      <c r="AG37" s="9">
        <v>3.419</v>
      </c>
      <c r="AH37" s="96" t="s">
        <v>267</v>
      </c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5" t="s">
        <v>267</v>
      </c>
      <c r="AE38" s="9" t="s">
        <v>267</v>
      </c>
      <c r="AF38" s="9" t="s">
        <v>267</v>
      </c>
      <c r="AG38" s="9" t="s">
        <v>267</v>
      </c>
      <c r="AH38" s="96" t="s">
        <v>267</v>
      </c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5" t="s">
        <v>267</v>
      </c>
      <c r="AE39" s="9" t="s">
        <v>267</v>
      </c>
      <c r="AF39" s="9" t="s">
        <v>267</v>
      </c>
      <c r="AG39" s="9" t="s">
        <v>267</v>
      </c>
      <c r="AH39" s="96" t="s">
        <v>267</v>
      </c>
      <c r="AI39" s="9"/>
      <c r="AJ39" s="9"/>
      <c r="AK39" s="9">
        <v>2.7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5" t="s">
        <v>267</v>
      </c>
      <c r="AE40" s="9" t="s">
        <v>267</v>
      </c>
      <c r="AF40" s="9" t="s">
        <v>267</v>
      </c>
      <c r="AG40" s="9" t="s">
        <v>267</v>
      </c>
      <c r="AH40" s="96" t="s">
        <v>267</v>
      </c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5" t="s">
        <v>267</v>
      </c>
      <c r="AE41" s="9" t="s">
        <v>267</v>
      </c>
      <c r="AF41" s="9">
        <v>3.8807999999999998</v>
      </c>
      <c r="AG41" s="9" t="s">
        <v>267</v>
      </c>
      <c r="AH41" s="96" t="s">
        <v>267</v>
      </c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5" t="s">
        <v>267</v>
      </c>
      <c r="AE42" s="9" t="s">
        <v>267</v>
      </c>
      <c r="AF42" s="9" t="s">
        <v>267</v>
      </c>
      <c r="AG42" s="9" t="s">
        <v>267</v>
      </c>
      <c r="AH42" s="96" t="s">
        <v>267</v>
      </c>
      <c r="AI42" s="9"/>
      <c r="AJ42" s="9"/>
      <c r="AK42" s="9"/>
      <c r="AL42" s="9">
        <v>3.2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5" t="s">
        <v>267</v>
      </c>
      <c r="AE43" s="9" t="s">
        <v>267</v>
      </c>
      <c r="AF43" s="9" t="s">
        <v>267</v>
      </c>
      <c r="AG43" s="9" t="s">
        <v>267</v>
      </c>
      <c r="AH43" s="96" t="s">
        <v>267</v>
      </c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5" t="s">
        <v>267</v>
      </c>
      <c r="AE44" s="9" t="s">
        <v>267</v>
      </c>
      <c r="AF44" s="9" t="s">
        <v>267</v>
      </c>
      <c r="AG44" s="9" t="s">
        <v>267</v>
      </c>
      <c r="AH44" s="96" t="s">
        <v>267</v>
      </c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5" t="s">
        <v>267</v>
      </c>
      <c r="AE45" s="9" t="s">
        <v>267</v>
      </c>
      <c r="AF45" s="9" t="s">
        <v>267</v>
      </c>
      <c r="AG45" s="9" t="s">
        <v>267</v>
      </c>
      <c r="AH45" s="96">
        <v>3.2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5" t="s">
        <v>267</v>
      </c>
      <c r="AE46" s="9" t="s">
        <v>267</v>
      </c>
      <c r="AF46" s="9" t="s">
        <v>267</v>
      </c>
      <c r="AG46" s="9" t="s">
        <v>267</v>
      </c>
      <c r="AH46" s="96" t="s">
        <v>267</v>
      </c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5" t="s">
        <v>267</v>
      </c>
      <c r="AE47" s="9" t="s">
        <v>267</v>
      </c>
      <c r="AF47" s="9" t="s">
        <v>267</v>
      </c>
      <c r="AG47" s="9" t="s">
        <v>267</v>
      </c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9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10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 t="s">
        <v>267</v>
      </c>
      <c r="P50" s="98" t="s">
        <v>267</v>
      </c>
      <c r="Q50" s="98" t="s">
        <v>267</v>
      </c>
      <c r="R50" s="98" t="s">
        <v>267</v>
      </c>
      <c r="S50" s="98" t="s">
        <v>267</v>
      </c>
      <c r="T50" s="98" t="s">
        <v>267</v>
      </c>
      <c r="U50" s="98" t="s">
        <v>267</v>
      </c>
      <c r="V50" s="98" t="s">
        <v>267</v>
      </c>
      <c r="W50" s="98" t="s">
        <v>267</v>
      </c>
      <c r="X50" s="98" t="s">
        <v>267</v>
      </c>
      <c r="Y50" s="98" t="s">
        <v>267</v>
      </c>
      <c r="Z50" s="98" t="s">
        <v>267</v>
      </c>
      <c r="AA50" s="98" t="s">
        <v>267</v>
      </c>
      <c r="AB50" s="98" t="s">
        <v>267</v>
      </c>
      <c r="AC50" s="98" t="s">
        <v>267</v>
      </c>
      <c r="AD50" s="97" t="s">
        <v>267</v>
      </c>
      <c r="AE50" s="98" t="s">
        <v>267</v>
      </c>
      <c r="AF50" s="98" t="s">
        <v>267</v>
      </c>
      <c r="AG50" s="98" t="s">
        <v>267</v>
      </c>
      <c r="AH50" s="99" t="s">
        <v>267</v>
      </c>
      <c r="AI50" s="98"/>
      <c r="AJ50" s="98"/>
      <c r="AK50" s="98"/>
      <c r="AL50" s="98"/>
      <c r="AM50" s="97" t="s">
        <v>267</v>
      </c>
      <c r="AN50" s="98"/>
      <c r="AO50" s="99"/>
      <c r="AP50" s="98" t="s">
        <v>267</v>
      </c>
      <c r="AQ50" s="98" t="s">
        <v>267</v>
      </c>
      <c r="AR50" s="102">
        <v>6</v>
      </c>
    </row>
    <row r="51" spans="1:44" x14ac:dyDescent="0.3">
      <c r="A51" s="58" t="s">
        <v>126</v>
      </c>
      <c r="B51" s="93" t="s">
        <v>267</v>
      </c>
      <c r="C51" s="93" t="s">
        <v>267</v>
      </c>
      <c r="D51" s="93" t="s">
        <v>267</v>
      </c>
      <c r="E51" s="93" t="s">
        <v>267</v>
      </c>
      <c r="F51" s="93" t="s">
        <v>267</v>
      </c>
      <c r="G51" s="93" t="s">
        <v>267</v>
      </c>
      <c r="H51" s="93" t="s">
        <v>267</v>
      </c>
      <c r="I51" s="93" t="s">
        <v>267</v>
      </c>
      <c r="J51" s="93" t="s">
        <v>267</v>
      </c>
      <c r="K51" s="93" t="s">
        <v>267</v>
      </c>
      <c r="L51" s="93" t="s">
        <v>267</v>
      </c>
      <c r="M51" s="93" t="s">
        <v>267</v>
      </c>
      <c r="N51" s="93" t="s">
        <v>267</v>
      </c>
      <c r="O51" s="93" t="s">
        <v>267</v>
      </c>
      <c r="P51" s="93" t="s">
        <v>267</v>
      </c>
      <c r="Q51" s="93" t="s">
        <v>267</v>
      </c>
      <c r="R51" s="93" t="s">
        <v>267</v>
      </c>
      <c r="S51" s="93" t="s">
        <v>267</v>
      </c>
      <c r="T51" s="93" t="s">
        <v>267</v>
      </c>
      <c r="U51" s="93" t="s">
        <v>267</v>
      </c>
      <c r="V51" s="93" t="s">
        <v>267</v>
      </c>
      <c r="W51" s="93" t="s">
        <v>267</v>
      </c>
      <c r="X51" s="93" t="s">
        <v>267</v>
      </c>
      <c r="Y51" s="93" t="s">
        <v>267</v>
      </c>
      <c r="Z51" s="93" t="s">
        <v>267</v>
      </c>
      <c r="AA51" s="93" t="s">
        <v>267</v>
      </c>
      <c r="AB51" s="93" t="s">
        <v>267</v>
      </c>
      <c r="AC51" s="93" t="s">
        <v>267</v>
      </c>
      <c r="AD51" s="92" t="s">
        <v>267</v>
      </c>
      <c r="AE51" s="93" t="s">
        <v>267</v>
      </c>
      <c r="AF51" s="93" t="s">
        <v>267</v>
      </c>
      <c r="AG51" s="93" t="s">
        <v>267</v>
      </c>
      <c r="AH51" s="94" t="s">
        <v>267</v>
      </c>
      <c r="AI51" s="93"/>
      <c r="AJ51" s="93"/>
      <c r="AK51" s="93"/>
      <c r="AL51" s="93"/>
      <c r="AM51" s="92" t="s">
        <v>267</v>
      </c>
      <c r="AN51" s="93"/>
      <c r="AO51" s="94"/>
      <c r="AP51" s="93">
        <v>2.6</v>
      </c>
      <c r="AQ51" s="93">
        <v>2.6</v>
      </c>
      <c r="AR51" s="101">
        <v>2.6</v>
      </c>
    </row>
    <row r="52" spans="1:44" x14ac:dyDescent="0.3">
      <c r="A52" s="83" t="s">
        <v>127</v>
      </c>
      <c r="B52" s="98" t="s">
        <v>267</v>
      </c>
      <c r="C52" s="98" t="s">
        <v>267</v>
      </c>
      <c r="D52" s="98" t="s">
        <v>267</v>
      </c>
      <c r="E52" s="98" t="s">
        <v>267</v>
      </c>
      <c r="F52" s="98" t="s">
        <v>267</v>
      </c>
      <c r="G52" s="98" t="s">
        <v>267</v>
      </c>
      <c r="H52" s="98" t="s">
        <v>267</v>
      </c>
      <c r="I52" s="98" t="s">
        <v>267</v>
      </c>
      <c r="J52" s="98" t="s">
        <v>267</v>
      </c>
      <c r="K52" s="98" t="s">
        <v>267</v>
      </c>
      <c r="L52" s="98" t="s">
        <v>267</v>
      </c>
      <c r="M52" s="98" t="s">
        <v>267</v>
      </c>
      <c r="N52" s="98" t="s">
        <v>267</v>
      </c>
      <c r="O52" s="98" t="s">
        <v>267</v>
      </c>
      <c r="P52" s="98" t="s">
        <v>267</v>
      </c>
      <c r="Q52" s="98" t="s">
        <v>267</v>
      </c>
      <c r="R52" s="98" t="s">
        <v>267</v>
      </c>
      <c r="S52" s="98" t="s">
        <v>267</v>
      </c>
      <c r="T52" s="98" t="s">
        <v>267</v>
      </c>
      <c r="U52" s="98" t="s">
        <v>267</v>
      </c>
      <c r="V52" s="98" t="s">
        <v>267</v>
      </c>
      <c r="W52" s="98" t="s">
        <v>267</v>
      </c>
      <c r="X52" s="98" t="s">
        <v>267</v>
      </c>
      <c r="Y52" s="98" t="s">
        <v>267</v>
      </c>
      <c r="Z52" s="98" t="s">
        <v>267</v>
      </c>
      <c r="AA52" s="98" t="s">
        <v>267</v>
      </c>
      <c r="AB52" s="98" t="s">
        <v>267</v>
      </c>
      <c r="AC52" s="98" t="s">
        <v>267</v>
      </c>
      <c r="AD52" s="97" t="s">
        <v>267</v>
      </c>
      <c r="AE52" s="98" t="s">
        <v>267</v>
      </c>
      <c r="AF52" s="98" t="s">
        <v>267</v>
      </c>
      <c r="AG52" s="98" t="s">
        <v>267</v>
      </c>
      <c r="AH52" s="99" t="s">
        <v>267</v>
      </c>
      <c r="AI52" s="98"/>
      <c r="AJ52" s="98"/>
      <c r="AK52" s="98"/>
      <c r="AL52" s="98"/>
      <c r="AM52" s="97" t="s">
        <v>267</v>
      </c>
      <c r="AN52" s="98"/>
      <c r="AO52" s="99"/>
      <c r="AP52" s="98">
        <v>2.6</v>
      </c>
      <c r="AQ52" s="98">
        <v>2.6</v>
      </c>
      <c r="AR52" s="102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5" t="s">
        <v>267</v>
      </c>
      <c r="AE53" s="9" t="s">
        <v>267</v>
      </c>
      <c r="AF53" s="9" t="s">
        <v>267</v>
      </c>
      <c r="AG53" s="9" t="s">
        <v>267</v>
      </c>
      <c r="AH53" s="96" t="s">
        <v>267</v>
      </c>
      <c r="AI53" s="9"/>
      <c r="AJ53" s="9"/>
      <c r="AK53" s="9"/>
      <c r="AL53" s="9"/>
      <c r="AM53" s="95">
        <v>0.1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0.1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0.95</v>
      </c>
    </row>
    <row r="4" spans="1:3" x14ac:dyDescent="0.3">
      <c r="A4" s="28" t="s">
        <v>134</v>
      </c>
      <c r="B4" s="104" t="s">
        <v>137</v>
      </c>
      <c r="C4" s="31">
        <v>0.95</v>
      </c>
    </row>
    <row r="5" spans="1:3" x14ac:dyDescent="0.3">
      <c r="A5" s="28" t="s">
        <v>135</v>
      </c>
      <c r="B5" s="104" t="s">
        <v>137</v>
      </c>
      <c r="C5" s="31">
        <v>0.95</v>
      </c>
    </row>
    <row r="6" spans="1:3" x14ac:dyDescent="0.3">
      <c r="A6" s="28" t="s">
        <v>136</v>
      </c>
      <c r="B6" s="104" t="s">
        <v>137</v>
      </c>
      <c r="C6" s="31">
        <v>0.95</v>
      </c>
    </row>
    <row r="7" spans="1:3" x14ac:dyDescent="0.3">
      <c r="A7" s="28" t="s">
        <v>133</v>
      </c>
      <c r="B7" s="104" t="s">
        <v>138</v>
      </c>
      <c r="C7" s="31">
        <v>0.95</v>
      </c>
    </row>
    <row r="8" spans="1:3" x14ac:dyDescent="0.3">
      <c r="A8" s="28" t="s">
        <v>134</v>
      </c>
      <c r="B8" s="104" t="s">
        <v>138</v>
      </c>
      <c r="C8" s="31">
        <v>0.95</v>
      </c>
    </row>
    <row r="9" spans="1:3" x14ac:dyDescent="0.3">
      <c r="A9" s="28" t="s">
        <v>135</v>
      </c>
      <c r="B9" s="104" t="s">
        <v>138</v>
      </c>
      <c r="C9" s="31">
        <v>0.95</v>
      </c>
    </row>
    <row r="10" spans="1:3" x14ac:dyDescent="0.3">
      <c r="A10" s="28" t="s">
        <v>136</v>
      </c>
      <c r="B10" s="104" t="s">
        <v>138</v>
      </c>
      <c r="C10" s="31">
        <v>0.95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28" t="s">
        <v>136</v>
      </c>
      <c r="B14" s="104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0.5</v>
      </c>
    </row>
    <row r="16" spans="1:3" x14ac:dyDescent="0.3">
      <c r="A16" s="28" t="s">
        <v>134</v>
      </c>
      <c r="B16" s="104" t="s">
        <v>347</v>
      </c>
      <c r="C16" s="31">
        <v>0.5</v>
      </c>
    </row>
    <row r="17" spans="1:3" x14ac:dyDescent="0.3">
      <c r="A17" s="28" t="s">
        <v>135</v>
      </c>
      <c r="B17" s="104" t="s">
        <v>347</v>
      </c>
      <c r="C17" s="31">
        <v>0.5</v>
      </c>
    </row>
    <row r="18" spans="1:3" x14ac:dyDescent="0.3">
      <c r="A18" s="28" t="s">
        <v>136</v>
      </c>
      <c r="B18" s="104" t="s">
        <v>347</v>
      </c>
      <c r="C18" s="31">
        <v>0.5</v>
      </c>
    </row>
    <row r="19" spans="1:3" x14ac:dyDescent="0.3">
      <c r="A19" s="28" t="s">
        <v>133</v>
      </c>
      <c r="B19" s="104" t="s">
        <v>348</v>
      </c>
      <c r="C19" s="31">
        <v>0.5</v>
      </c>
    </row>
    <row r="20" spans="1:3" x14ac:dyDescent="0.3">
      <c r="A20" s="28" t="s">
        <v>134</v>
      </c>
      <c r="B20" s="104" t="s">
        <v>348</v>
      </c>
      <c r="C20" s="31">
        <v>1.5</v>
      </c>
    </row>
    <row r="21" spans="1:3" x14ac:dyDescent="0.3">
      <c r="A21" s="28" t="s">
        <v>135</v>
      </c>
      <c r="B21" s="104" t="s">
        <v>348</v>
      </c>
      <c r="C21" s="31">
        <v>2.5</v>
      </c>
    </row>
    <row r="22" spans="1:3" ht="16.2" thickBot="1" x14ac:dyDescent="0.35">
      <c r="A22" s="29" t="s">
        <v>136</v>
      </c>
      <c r="B22" s="113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2" t="s">
        <v>259</v>
      </c>
      <c r="C2" s="27" t="s">
        <v>264</v>
      </c>
    </row>
    <row r="3" spans="1:3" x14ac:dyDescent="0.3">
      <c r="A3" s="28" t="s">
        <v>133</v>
      </c>
      <c r="B3" s="104" t="s">
        <v>137</v>
      </c>
      <c r="C3" s="31">
        <v>0</v>
      </c>
    </row>
    <row r="4" spans="1:3" x14ac:dyDescent="0.3">
      <c r="A4" s="28" t="s">
        <v>134</v>
      </c>
      <c r="B4" s="104" t="s">
        <v>137</v>
      </c>
      <c r="C4" s="31">
        <v>0</v>
      </c>
    </row>
    <row r="5" spans="1:3" x14ac:dyDescent="0.3">
      <c r="A5" s="28" t="s">
        <v>135</v>
      </c>
      <c r="B5" s="104" t="s">
        <v>137</v>
      </c>
      <c r="C5" s="31">
        <v>0</v>
      </c>
    </row>
    <row r="6" spans="1:3" x14ac:dyDescent="0.3">
      <c r="A6" s="28" t="s">
        <v>136</v>
      </c>
      <c r="B6" s="104" t="s">
        <v>137</v>
      </c>
      <c r="C6" s="31">
        <v>0</v>
      </c>
    </row>
    <row r="7" spans="1:3" x14ac:dyDescent="0.3">
      <c r="A7" s="28" t="s">
        <v>133</v>
      </c>
      <c r="B7" s="104" t="s">
        <v>138</v>
      </c>
      <c r="C7" s="31">
        <v>0</v>
      </c>
    </row>
    <row r="8" spans="1:3" x14ac:dyDescent="0.3">
      <c r="A8" s="28" t="s">
        <v>134</v>
      </c>
      <c r="B8" s="104" t="s">
        <v>138</v>
      </c>
      <c r="C8" s="31">
        <v>0</v>
      </c>
    </row>
    <row r="9" spans="1:3" x14ac:dyDescent="0.3">
      <c r="A9" s="28" t="s">
        <v>135</v>
      </c>
      <c r="B9" s="104" t="s">
        <v>138</v>
      </c>
      <c r="C9" s="31">
        <v>0</v>
      </c>
    </row>
    <row r="10" spans="1:3" x14ac:dyDescent="0.3">
      <c r="A10" s="28" t="s">
        <v>136</v>
      </c>
      <c r="B10" s="104" t="s">
        <v>138</v>
      </c>
      <c r="C10" s="31">
        <v>0</v>
      </c>
    </row>
    <row r="11" spans="1:3" x14ac:dyDescent="0.3">
      <c r="A11" s="28" t="s">
        <v>133</v>
      </c>
      <c r="B11" s="104" t="s">
        <v>346</v>
      </c>
      <c r="C11" s="31">
        <v>0.99</v>
      </c>
    </row>
    <row r="12" spans="1:3" x14ac:dyDescent="0.3">
      <c r="A12" s="28" t="s">
        <v>134</v>
      </c>
      <c r="B12" s="104" t="s">
        <v>346</v>
      </c>
      <c r="C12" s="31">
        <v>0.99</v>
      </c>
    </row>
    <row r="13" spans="1:3" x14ac:dyDescent="0.3">
      <c r="A13" s="28" t="s">
        <v>135</v>
      </c>
      <c r="B13" s="104" t="s">
        <v>346</v>
      </c>
      <c r="C13" s="31">
        <v>0.99</v>
      </c>
    </row>
    <row r="14" spans="1:3" x14ac:dyDescent="0.3">
      <c r="A14" s="28" t="s">
        <v>136</v>
      </c>
      <c r="B14" s="104" t="s">
        <v>346</v>
      </c>
      <c r="C14" s="31">
        <v>0.99</v>
      </c>
    </row>
    <row r="15" spans="1:3" x14ac:dyDescent="0.3">
      <c r="A15" s="28" t="s">
        <v>133</v>
      </c>
      <c r="B15" s="104" t="s">
        <v>347</v>
      </c>
      <c r="C15" s="31">
        <v>0.99</v>
      </c>
    </row>
    <row r="16" spans="1:3" x14ac:dyDescent="0.3">
      <c r="A16" s="28" t="s">
        <v>134</v>
      </c>
      <c r="B16" s="104" t="s">
        <v>347</v>
      </c>
      <c r="C16" s="31">
        <v>0.99</v>
      </c>
    </row>
    <row r="17" spans="1:3" x14ac:dyDescent="0.3">
      <c r="A17" s="28" t="s">
        <v>135</v>
      </c>
      <c r="B17" s="104" t="s">
        <v>347</v>
      </c>
      <c r="C17" s="31">
        <v>0.99</v>
      </c>
    </row>
    <row r="18" spans="1:3" x14ac:dyDescent="0.3">
      <c r="A18" s="28" t="s">
        <v>136</v>
      </c>
      <c r="B18" s="104" t="s">
        <v>347</v>
      </c>
      <c r="C18" s="31">
        <v>0.99</v>
      </c>
    </row>
    <row r="19" spans="1:3" x14ac:dyDescent="0.3">
      <c r="A19" s="28" t="s">
        <v>133</v>
      </c>
      <c r="B19" s="104" t="s">
        <v>348</v>
      </c>
      <c r="C19" s="31">
        <v>0.99</v>
      </c>
    </row>
    <row r="20" spans="1:3" x14ac:dyDescent="0.3">
      <c r="A20" s="28" t="s">
        <v>134</v>
      </c>
      <c r="B20" s="104" t="s">
        <v>348</v>
      </c>
      <c r="C20" s="31">
        <v>0.99</v>
      </c>
    </row>
    <row r="21" spans="1:3" x14ac:dyDescent="0.3">
      <c r="A21" s="28" t="s">
        <v>135</v>
      </c>
      <c r="B21" s="104" t="s">
        <v>348</v>
      </c>
      <c r="C21" s="31">
        <v>0.99</v>
      </c>
    </row>
    <row r="22" spans="1:3" ht="16.2" thickBot="1" x14ac:dyDescent="0.35">
      <c r="A22" s="29" t="s">
        <v>136</v>
      </c>
      <c r="B22" s="113" t="s">
        <v>348</v>
      </c>
      <c r="C22" s="148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7" t="s">
        <v>137</v>
      </c>
      <c r="B3" s="37">
        <v>0</v>
      </c>
    </row>
    <row r="4" spans="1:2" x14ac:dyDescent="0.3">
      <c r="A4" s="117" t="s">
        <v>138</v>
      </c>
      <c r="B4" s="37">
        <v>0</v>
      </c>
    </row>
    <row r="5" spans="1:2" x14ac:dyDescent="0.3">
      <c r="A5" s="117" t="s">
        <v>346</v>
      </c>
      <c r="B5" s="37">
        <v>1</v>
      </c>
    </row>
    <row r="6" spans="1:2" x14ac:dyDescent="0.3">
      <c r="A6" s="117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40">
        <v>0</v>
      </c>
    </row>
    <row r="4" spans="1:2" ht="16.2" thickBot="1" x14ac:dyDescent="0.35">
      <c r="A4" s="29" t="s">
        <v>127</v>
      </c>
      <c r="B4" s="14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9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3">
        <v>2035000</v>
      </c>
      <c r="C3" s="163">
        <v>35.75</v>
      </c>
      <c r="D3" s="163">
        <v>12649.999999999998</v>
      </c>
      <c r="E3" s="163">
        <v>770.00000000000011</v>
      </c>
      <c r="F3" s="146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3">
        <v>22</v>
      </c>
      <c r="C4" s="163">
        <v>2.0000000000000001E-4</v>
      </c>
      <c r="D4" s="163">
        <v>1.4E-2</v>
      </c>
      <c r="E4" s="163">
        <v>7.1000000000000004E-3</v>
      </c>
      <c r="F4" s="146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3">
        <v>310000000</v>
      </c>
      <c r="C5" s="163">
        <v>2800</v>
      </c>
      <c r="D5" s="163">
        <v>190000</v>
      </c>
      <c r="E5" s="163">
        <v>100000</v>
      </c>
      <c r="F5" s="146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3">
        <v>970</v>
      </c>
      <c r="C6" s="163">
        <v>0.13</v>
      </c>
      <c r="D6" s="163">
        <v>9.5</v>
      </c>
      <c r="E6" s="163">
        <v>2.8</v>
      </c>
      <c r="F6" s="146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4">
        <v>1000</v>
      </c>
      <c r="C7" s="164">
        <v>1.2E-2</v>
      </c>
      <c r="D7" s="164">
        <v>2</v>
      </c>
      <c r="E7" s="164">
        <v>0.65</v>
      </c>
      <c r="F7" s="148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5" t="s">
        <v>259</v>
      </c>
      <c r="B2" s="112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145" t="s">
        <v>137</v>
      </c>
      <c r="B3" s="163">
        <v>9600</v>
      </c>
      <c r="C3" s="163">
        <v>1.45</v>
      </c>
      <c r="D3" s="163">
        <v>12.8</v>
      </c>
      <c r="E3" s="163">
        <v>13.5</v>
      </c>
      <c r="F3" s="146">
        <v>1.5</v>
      </c>
    </row>
    <row r="4" spans="1:6" ht="15.6" x14ac:dyDescent="0.3">
      <c r="A4" s="145" t="s">
        <v>138</v>
      </c>
      <c r="B4" s="163">
        <v>9600</v>
      </c>
      <c r="C4" s="163">
        <v>1.45</v>
      </c>
      <c r="D4" s="163">
        <v>12.8</v>
      </c>
      <c r="E4" s="163">
        <v>13.5</v>
      </c>
      <c r="F4" s="146">
        <v>1.5</v>
      </c>
    </row>
    <row r="5" spans="1:6" ht="15.6" x14ac:dyDescent="0.3">
      <c r="A5" s="145" t="s">
        <v>346</v>
      </c>
      <c r="B5" s="163">
        <v>9600</v>
      </c>
      <c r="C5" s="163">
        <v>1.45</v>
      </c>
      <c r="D5" s="163">
        <v>12.8</v>
      </c>
      <c r="E5" s="163">
        <v>13.5</v>
      </c>
      <c r="F5" s="146">
        <v>1.5</v>
      </c>
    </row>
    <row r="6" spans="1:6" ht="15.6" x14ac:dyDescent="0.3">
      <c r="A6" s="145" t="s">
        <v>347</v>
      </c>
      <c r="B6" s="163">
        <v>9600</v>
      </c>
      <c r="C6" s="163">
        <v>1.45</v>
      </c>
      <c r="D6" s="163">
        <v>12.8</v>
      </c>
      <c r="E6" s="163">
        <v>13.5</v>
      </c>
      <c r="F6" s="146">
        <v>1.5</v>
      </c>
    </row>
    <row r="7" spans="1:6" ht="16.2" thickBot="1" x14ac:dyDescent="0.35">
      <c r="A7" s="147" t="s">
        <v>348</v>
      </c>
      <c r="B7" s="164">
        <v>9600</v>
      </c>
      <c r="C7" s="164">
        <v>1.45</v>
      </c>
      <c r="D7" s="164">
        <v>12.8</v>
      </c>
      <c r="E7" s="164">
        <v>13.5</v>
      </c>
      <c r="F7" s="148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9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9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9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5" t="s">
        <v>137</v>
      </c>
      <c r="C6" s="130">
        <v>0</v>
      </c>
      <c r="D6" s="116">
        <v>68</v>
      </c>
      <c r="E6" s="116">
        <v>70</v>
      </c>
      <c r="F6" s="84">
        <v>72</v>
      </c>
    </row>
    <row r="7" spans="1:6" ht="15.6" x14ac:dyDescent="0.3">
      <c r="A7" s="28" t="s">
        <v>133</v>
      </c>
      <c r="B7" s="89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9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9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5" t="s">
        <v>138</v>
      </c>
      <c r="C10" s="130">
        <v>0</v>
      </c>
      <c r="D10" s="116">
        <v>68</v>
      </c>
      <c r="E10" s="116">
        <v>70</v>
      </c>
      <c r="F10" s="84">
        <v>72</v>
      </c>
    </row>
    <row r="11" spans="1:6" ht="15.6" x14ac:dyDescent="0.3">
      <c r="A11" s="28" t="s">
        <v>133</v>
      </c>
      <c r="B11" s="89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9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9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5" t="s">
        <v>346</v>
      </c>
      <c r="C14" s="130">
        <v>0</v>
      </c>
      <c r="D14" s="116">
        <v>68</v>
      </c>
      <c r="E14" s="116">
        <v>70</v>
      </c>
      <c r="F14" s="84">
        <v>72</v>
      </c>
    </row>
    <row r="15" spans="1:6" ht="15.6" x14ac:dyDescent="0.3">
      <c r="A15" s="28" t="s">
        <v>133</v>
      </c>
      <c r="B15" s="89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9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9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5" t="s">
        <v>347</v>
      </c>
      <c r="C18" s="130">
        <v>0</v>
      </c>
      <c r="D18" s="116">
        <v>68</v>
      </c>
      <c r="E18" s="116">
        <v>70</v>
      </c>
      <c r="F18" s="84">
        <v>72</v>
      </c>
    </row>
    <row r="19" spans="1:6" ht="15.6" x14ac:dyDescent="0.3">
      <c r="A19" s="28" t="s">
        <v>133</v>
      </c>
      <c r="B19" s="89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9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9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1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1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5" t="s">
        <v>121</v>
      </c>
      <c r="B3" s="146">
        <v>1</v>
      </c>
    </row>
    <row r="4" spans="1:2" x14ac:dyDescent="0.3">
      <c r="A4" s="145" t="s">
        <v>122</v>
      </c>
      <c r="B4" s="146">
        <v>1</v>
      </c>
    </row>
    <row r="5" spans="1:2" x14ac:dyDescent="0.3">
      <c r="A5" s="145" t="s">
        <v>123</v>
      </c>
      <c r="B5" s="146">
        <v>1</v>
      </c>
    </row>
    <row r="6" spans="1:2" x14ac:dyDescent="0.3">
      <c r="A6" s="145" t="s">
        <v>124</v>
      </c>
      <c r="B6" s="146">
        <v>1</v>
      </c>
    </row>
    <row r="7" spans="1:2" ht="16.2" thickBot="1" x14ac:dyDescent="0.35">
      <c r="A7" s="147" t="s">
        <v>125</v>
      </c>
      <c r="B7" s="148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9" t="s">
        <v>121</v>
      </c>
      <c r="B3" s="60">
        <v>0.53</v>
      </c>
    </row>
    <row r="4" spans="1:2" x14ac:dyDescent="0.3">
      <c r="A4" s="149" t="s">
        <v>122</v>
      </c>
      <c r="B4" s="60">
        <v>0.53</v>
      </c>
    </row>
    <row r="5" spans="1:2" x14ac:dyDescent="0.3">
      <c r="A5" s="149" t="s">
        <v>123</v>
      </c>
      <c r="B5" s="60">
        <v>0.53438082767110195</v>
      </c>
    </row>
    <row r="6" spans="1:2" x14ac:dyDescent="0.3">
      <c r="A6" s="149" t="s">
        <v>124</v>
      </c>
      <c r="B6" s="60">
        <v>0.53438082767110195</v>
      </c>
    </row>
    <row r="7" spans="1:2" ht="16.2" thickBot="1" x14ac:dyDescent="0.35">
      <c r="A7" s="150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1" t="s">
        <v>257</v>
      </c>
      <c r="B2" s="152" t="s">
        <v>265</v>
      </c>
    </row>
    <row r="3" spans="1:2" x14ac:dyDescent="0.3">
      <c r="A3" s="153" t="s">
        <v>121</v>
      </c>
      <c r="B3" s="154">
        <v>0.76</v>
      </c>
    </row>
    <row r="4" spans="1:2" x14ac:dyDescent="0.3">
      <c r="A4" s="153" t="s">
        <v>122</v>
      </c>
      <c r="B4" s="154">
        <v>0.21</v>
      </c>
    </row>
    <row r="5" spans="1:2" x14ac:dyDescent="0.3">
      <c r="A5" s="153" t="s">
        <v>123</v>
      </c>
      <c r="B5" s="154">
        <v>0.18</v>
      </c>
    </row>
    <row r="6" spans="1:2" x14ac:dyDescent="0.3">
      <c r="A6" s="153" t="s">
        <v>124</v>
      </c>
      <c r="B6" s="154">
        <v>0.33</v>
      </c>
    </row>
    <row r="7" spans="1:2" ht="16.2" thickBot="1" x14ac:dyDescent="0.35">
      <c r="A7" s="155" t="s">
        <v>125</v>
      </c>
      <c r="B7" s="156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0.81</v>
      </c>
    </row>
    <row r="4" spans="1:2" x14ac:dyDescent="0.3">
      <c r="A4" s="159" t="s">
        <v>122</v>
      </c>
      <c r="B4" s="160">
        <v>0.38</v>
      </c>
    </row>
    <row r="5" spans="1:2" x14ac:dyDescent="0.3">
      <c r="A5" s="159" t="s">
        <v>123</v>
      </c>
      <c r="B5" s="160">
        <v>0.87</v>
      </c>
    </row>
    <row r="6" spans="1:2" x14ac:dyDescent="0.3">
      <c r="A6" s="159" t="s">
        <v>124</v>
      </c>
      <c r="B6" s="160">
        <v>0.7</v>
      </c>
    </row>
    <row r="7" spans="1:2" ht="16.2" thickBot="1" x14ac:dyDescent="0.35">
      <c r="A7" s="161" t="s">
        <v>125</v>
      </c>
      <c r="B7" s="162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1.01</v>
      </c>
    </row>
    <row r="4" spans="1:2" x14ac:dyDescent="0.3">
      <c r="A4" s="159" t="s">
        <v>122</v>
      </c>
      <c r="B4" s="160">
        <v>5.4</v>
      </c>
    </row>
    <row r="5" spans="1:2" x14ac:dyDescent="0.3">
      <c r="A5" s="159" t="s">
        <v>123</v>
      </c>
      <c r="B5" s="160">
        <v>1.01</v>
      </c>
    </row>
    <row r="6" spans="1:2" x14ac:dyDescent="0.3">
      <c r="A6" s="159" t="s">
        <v>124</v>
      </c>
      <c r="B6" s="160">
        <v>3.22</v>
      </c>
    </row>
    <row r="7" spans="1:2" ht="16.2" thickBot="1" x14ac:dyDescent="0.35">
      <c r="A7" s="161" t="s">
        <v>125</v>
      </c>
      <c r="B7" s="162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2.95</v>
      </c>
    </row>
    <row r="4" spans="1:2" x14ac:dyDescent="0.3">
      <c r="A4" s="159" t="s">
        <v>122</v>
      </c>
      <c r="B4" s="160">
        <v>4.16</v>
      </c>
    </row>
    <row r="5" spans="1:2" x14ac:dyDescent="0.3">
      <c r="A5" s="159" t="s">
        <v>123</v>
      </c>
      <c r="B5" s="160">
        <v>0.25</v>
      </c>
    </row>
    <row r="6" spans="1:2" x14ac:dyDescent="0.3">
      <c r="A6" s="159" t="s">
        <v>124</v>
      </c>
      <c r="B6" s="160">
        <v>0.78</v>
      </c>
    </row>
    <row r="7" spans="1:2" ht="16.2" thickBot="1" x14ac:dyDescent="0.35">
      <c r="A7" s="161" t="s">
        <v>125</v>
      </c>
      <c r="B7" s="162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0.31</v>
      </c>
    </row>
    <row r="4" spans="1:2" x14ac:dyDescent="0.3">
      <c r="A4" s="159" t="s">
        <v>122</v>
      </c>
      <c r="B4" s="160">
        <v>3.81</v>
      </c>
    </row>
    <row r="5" spans="1:2" x14ac:dyDescent="0.3">
      <c r="A5" s="159" t="s">
        <v>123</v>
      </c>
      <c r="B5" s="160">
        <v>1.96</v>
      </c>
    </row>
    <row r="6" spans="1:2" x14ac:dyDescent="0.3">
      <c r="A6" s="159" t="s">
        <v>124</v>
      </c>
      <c r="B6" s="160">
        <v>1.76</v>
      </c>
    </row>
    <row r="7" spans="1:2" ht="16.2" thickBot="1" x14ac:dyDescent="0.35">
      <c r="A7" s="161" t="s">
        <v>125</v>
      </c>
      <c r="B7" s="162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2" t="s">
        <v>314</v>
      </c>
      <c r="B1" s="133"/>
      <c r="C1" s="133"/>
    </row>
    <row r="2" spans="1:3" x14ac:dyDescent="0.3">
      <c r="A2" s="134" t="s">
        <v>43</v>
      </c>
      <c r="B2" s="135" t="s">
        <v>265</v>
      </c>
      <c r="C2" s="133"/>
    </row>
    <row r="3" spans="1:3" x14ac:dyDescent="0.3">
      <c r="A3" s="136" t="s">
        <v>315</v>
      </c>
      <c r="B3" s="137">
        <v>1.86</v>
      </c>
      <c r="C3" s="133"/>
    </row>
    <row r="4" spans="1:3" x14ac:dyDescent="0.3">
      <c r="A4" s="136" t="s">
        <v>316</v>
      </c>
      <c r="B4" s="137">
        <v>2</v>
      </c>
      <c r="C4" s="133"/>
    </row>
    <row r="5" spans="1:3" x14ac:dyDescent="0.3">
      <c r="A5" s="136" t="s">
        <v>317</v>
      </c>
      <c r="B5" s="137">
        <v>1.86</v>
      </c>
      <c r="C5" s="133"/>
    </row>
    <row r="6" spans="1:3" x14ac:dyDescent="0.3">
      <c r="A6" s="136" t="s">
        <v>318</v>
      </c>
      <c r="B6" s="137">
        <v>2</v>
      </c>
      <c r="C6" s="133"/>
    </row>
    <row r="7" spans="1:3" x14ac:dyDescent="0.3">
      <c r="A7" s="136" t="s">
        <v>319</v>
      </c>
      <c r="B7" s="137">
        <v>5.59</v>
      </c>
      <c r="C7" s="133"/>
    </row>
    <row r="8" spans="1:3" x14ac:dyDescent="0.3">
      <c r="A8" s="136" t="s">
        <v>320</v>
      </c>
      <c r="B8" s="137">
        <v>1</v>
      </c>
      <c r="C8" s="133"/>
    </row>
    <row r="9" spans="1:3" x14ac:dyDescent="0.3">
      <c r="A9" s="136" t="s">
        <v>321</v>
      </c>
      <c r="B9" s="137">
        <v>5.59</v>
      </c>
      <c r="C9" s="133"/>
    </row>
    <row r="10" spans="1:3" x14ac:dyDescent="0.3">
      <c r="A10" s="136" t="s">
        <v>322</v>
      </c>
      <c r="B10" s="137">
        <v>1</v>
      </c>
      <c r="C10" s="133"/>
    </row>
    <row r="11" spans="1:3" x14ac:dyDescent="0.3">
      <c r="A11" s="136" t="s">
        <v>323</v>
      </c>
      <c r="B11" s="137">
        <v>1.86</v>
      </c>
      <c r="C11" s="133"/>
    </row>
    <row r="12" spans="1:3" x14ac:dyDescent="0.3">
      <c r="A12" s="136" t="s">
        <v>324</v>
      </c>
      <c r="B12" s="137">
        <v>2</v>
      </c>
      <c r="C12" s="133"/>
    </row>
    <row r="13" spans="1:3" x14ac:dyDescent="0.3">
      <c r="A13" s="136" t="s">
        <v>325</v>
      </c>
      <c r="B13" s="137">
        <v>0.7</v>
      </c>
      <c r="C13" s="133" t="s">
        <v>326</v>
      </c>
    </row>
    <row r="14" spans="1:3" ht="16.2" thickBot="1" x14ac:dyDescent="0.35">
      <c r="A14" s="138" t="s">
        <v>327</v>
      </c>
      <c r="B14" s="139">
        <v>0.5</v>
      </c>
      <c r="C14" s="1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2025-10-18T20:02:56Z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2025-10-29T17:53:31Z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2e0f685f-9747-45b0-83ca-eb9089066ab7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